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arosio/Documents/02_Projects/01_Projects_approved/2023/"/>
    </mc:Choice>
  </mc:AlternateContent>
  <xr:revisionPtr revIDLastSave="0" documentId="13_ncr:1_{E1F46BF1-067D-3C4B-862B-6947400EBD73}" xr6:coauthVersionLast="47" xr6:coauthVersionMax="47" xr10:uidLastSave="{00000000-0000-0000-0000-000000000000}"/>
  <bookViews>
    <workbookView xWindow="0" yWindow="500" windowWidth="19200" windowHeight="19440" xr2:uid="{4F31EA95-B5D3-E34C-8AB9-1ED0BF3A913A}"/>
  </bookViews>
  <sheets>
    <sheet name="Building" sheetId="1" r:id="rId1"/>
    <sheet name="Machinery" sheetId="4" r:id="rId2"/>
    <sheet name="Invento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5" l="1"/>
  <c r="S5" i="5"/>
  <c r="S4" i="5"/>
  <c r="S3" i="5"/>
  <c r="S2" i="5"/>
  <c r="M6" i="5"/>
  <c r="M5" i="5"/>
  <c r="M4" i="5"/>
  <c r="M3" i="5"/>
  <c r="M2" i="5"/>
  <c r="J6" i="5"/>
  <c r="J5" i="5"/>
  <c r="J4" i="5"/>
  <c r="J3" i="5"/>
  <c r="J2" i="5"/>
  <c r="E6" i="5"/>
  <c r="E5" i="5"/>
  <c r="E4" i="5"/>
  <c r="E3" i="5"/>
  <c r="E2" i="5"/>
  <c r="S6" i="4"/>
  <c r="S5" i="4"/>
  <c r="S4" i="4"/>
  <c r="S3" i="4"/>
  <c r="S2" i="4"/>
  <c r="M6" i="4"/>
  <c r="M5" i="4"/>
  <c r="M4" i="4"/>
  <c r="M3" i="4"/>
  <c r="M2" i="4"/>
  <c r="J6" i="4"/>
  <c r="J5" i="4"/>
  <c r="J4" i="4"/>
  <c r="J3" i="4"/>
  <c r="J2" i="4"/>
  <c r="E6" i="4"/>
  <c r="E5" i="4"/>
  <c r="E4" i="4"/>
  <c r="E3" i="4"/>
  <c r="E2" i="4"/>
  <c r="S2" i="1"/>
  <c r="S6" i="1"/>
  <c r="S5" i="1"/>
  <c r="S4" i="1"/>
  <c r="S3" i="1"/>
  <c r="M6" i="1"/>
  <c r="M5" i="1"/>
  <c r="M4" i="1"/>
  <c r="M3" i="1"/>
  <c r="M2" i="1"/>
  <c r="J6" i="1"/>
  <c r="J5" i="1"/>
  <c r="J4" i="1"/>
  <c r="J3" i="1"/>
  <c r="J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<sst xmlns="http://schemas.openxmlformats.org/spreadsheetml/2006/main" count="57" uniqueCount="19">
  <si>
    <t>COM_PD</t>
  </si>
  <si>
    <t>COM_GD</t>
  </si>
  <si>
    <t>COM_IN</t>
  </si>
  <si>
    <t>COM_OF</t>
  </si>
  <si>
    <t>COM_RS</t>
  </si>
  <si>
    <t>IND_HV</t>
  </si>
  <si>
    <t>IND_LG</t>
  </si>
  <si>
    <t>IND_MG</t>
  </si>
  <si>
    <t>IND_TR</t>
  </si>
  <si>
    <t>IND_HT</t>
  </si>
  <si>
    <t>IND_CS</t>
  </si>
  <si>
    <t>RES_HT</t>
  </si>
  <si>
    <t>AGR_00</t>
  </si>
  <si>
    <t>ATT_IM</t>
  </si>
  <si>
    <t>Media2</t>
  </si>
  <si>
    <t>Media1</t>
  </si>
  <si>
    <t>Media3</t>
  </si>
  <si>
    <t>Media4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</si>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</sst>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10E5-7C05-3844-BB9B-6098192C614A}">
  <dimension ref="A1:Y6"/>
  <sheetViews>
    <sheetView tabSelected="1" workbookViewId="0">
      <selection activeCell="A2" sqref="A2"/>
    </sheetView>
  </sheetViews>
  <sheetFormatPr baseColWidth="10" defaultRowHeight="16" x14ac:dyDescent="0.2"/>
  <cols>
    <col min="5" max="5" width="11" bestFit="1" customWidth="1"/>
    <col min="10" max="10" width="11" bestFit="1" customWidth="1"/>
    <col min="13" max="13" width="11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>
        <v>3.7490593607305889E-2</v>
      </c>
      <c r="C2">
        <v>3.2320477695820124E-2</v>
      </c>
      <c r="D2">
        <v>1.896933218981833E-2</v>
      </c>
      <c r="E2" s="2">
        <f>+AVERAGE(B2:D2)</f>
        <v>2.9593467830981449E-2</v>
      </c>
      <c r="F2">
        <v>8.6418493086458572E-3</v>
      </c>
      <c r="G2">
        <v>2.2888584474885836E-2</v>
      </c>
      <c r="H2">
        <v>2.4882191780821915E-2</v>
      </c>
      <c r="I2">
        <v>2.5598904109589041E-2</v>
      </c>
      <c r="J2" s="2">
        <f>+AVERAGE(H2:I2)</f>
        <v>2.5240547945205478E-2</v>
      </c>
      <c r="K2">
        <v>1.4867692307692274E-2</v>
      </c>
      <c r="L2">
        <v>2.4138428262436878E-2</v>
      </c>
      <c r="M2" s="2">
        <f>+AVERAGE(K2:L2)</f>
        <v>1.9503060285064575E-2</v>
      </c>
      <c r="N2">
        <v>1.5959649315068495E-2</v>
      </c>
      <c r="O2">
        <v>2.1800930804355429E-2</v>
      </c>
      <c r="P2">
        <v>8.0596452406041325E-2</v>
      </c>
      <c r="Q2">
        <v>2.2353889178556196E-2</v>
      </c>
      <c r="R2">
        <v>4.275616438356164E-2</v>
      </c>
      <c r="S2" s="2">
        <f>+AVERAGE(G2,P2)</f>
        <v>5.1742518440463584E-2</v>
      </c>
    </row>
    <row r="3" spans="1:25" x14ac:dyDescent="0.2">
      <c r="A3">
        <v>0.1</v>
      </c>
      <c r="B3">
        <v>5.1669863013698629E-2</v>
      </c>
      <c r="C3">
        <v>5.2577449947312942E-2</v>
      </c>
      <c r="D3">
        <v>3.7464137060803919E-2</v>
      </c>
      <c r="E3" s="2">
        <f t="shared" ref="E3:E6" si="0">+AVERAGE(B3:D3)</f>
        <v>4.7237150007271828E-2</v>
      </c>
      <c r="F3">
        <v>1.4672809420211354E-2</v>
      </c>
      <c r="G3">
        <v>3.1439334637964653E-2</v>
      </c>
      <c r="H3">
        <v>4.13013698630137E-2</v>
      </c>
      <c r="I3">
        <v>3.9230821917808217E-2</v>
      </c>
      <c r="J3" s="2">
        <f t="shared" ref="J3:J6" si="1">+AVERAGE(H3:I3)</f>
        <v>4.0266095890410955E-2</v>
      </c>
      <c r="K3">
        <v>3.9508094645080948E-2</v>
      </c>
      <c r="L3">
        <v>4.7407354001441859E-2</v>
      </c>
      <c r="M3" s="2">
        <f t="shared" ref="M3:M6" si="2">+AVERAGE(K3:L3)</f>
        <v>4.3457724323261407E-2</v>
      </c>
      <c r="N3">
        <v>4.1917808219178086E-2</v>
      </c>
      <c r="O3">
        <v>3.5541249560941339E-2</v>
      </c>
      <c r="P3">
        <v>0.11953292939936774</v>
      </c>
      <c r="Q3">
        <v>3.434182257639988E-2</v>
      </c>
      <c r="R3">
        <v>7.4800000000000005E-2</v>
      </c>
      <c r="S3" s="2">
        <f t="shared" ref="S3:S6" si="3">+AVERAGE(G3,P3)</f>
        <v>7.5486132018666191E-2</v>
      </c>
    </row>
    <row r="4" spans="1:25" x14ac:dyDescent="0.2">
      <c r="A4">
        <v>0.25</v>
      </c>
      <c r="B4">
        <v>8.5380821917808145E-2</v>
      </c>
      <c r="C4">
        <v>7.0145416227607935E-2</v>
      </c>
      <c r="D4">
        <v>6.2854495128571997E-2</v>
      </c>
      <c r="E4" s="2">
        <f t="shared" si="0"/>
        <v>7.2793577757996025E-2</v>
      </c>
      <c r="F4">
        <v>4.3522000300579462E-2</v>
      </c>
      <c r="G4">
        <v>5.3391780821917825E-2</v>
      </c>
      <c r="H4">
        <v>6.8128767123287678E-2</v>
      </c>
      <c r="I4">
        <v>8.457534246575342E-2</v>
      </c>
      <c r="J4" s="2">
        <f t="shared" si="1"/>
        <v>7.6352054794520549E-2</v>
      </c>
      <c r="K4">
        <v>6.8575242839352443E-2</v>
      </c>
      <c r="L4">
        <v>6.2830981563497826E-2</v>
      </c>
      <c r="M4" s="2">
        <f t="shared" si="2"/>
        <v>6.5703112201425135E-2</v>
      </c>
      <c r="N4">
        <v>6.5694246575342466E-2</v>
      </c>
      <c r="O4">
        <v>6.4008898255473651E-2</v>
      </c>
      <c r="P4">
        <v>0.13100105374077928</v>
      </c>
      <c r="Q4">
        <v>5.3097226862679564E-2</v>
      </c>
      <c r="R4">
        <v>0.12028219178082192</v>
      </c>
      <c r="S4" s="2">
        <f t="shared" si="3"/>
        <v>9.2196417281348558E-2</v>
      </c>
    </row>
    <row r="5" spans="1:25" x14ac:dyDescent="0.2">
      <c r="A5">
        <v>0.5</v>
      </c>
      <c r="B5">
        <v>0.27612694063926962</v>
      </c>
      <c r="C5">
        <v>0.21199016508605564</v>
      </c>
      <c r="D5">
        <v>0.14146323674970568</v>
      </c>
      <c r="E5" s="2">
        <f t="shared" si="0"/>
        <v>0.20986011415834369</v>
      </c>
      <c r="F5">
        <v>7.34144969212015E-2</v>
      </c>
      <c r="G5">
        <v>0.15856968906283953</v>
      </c>
      <c r="H5">
        <v>0.2107178082191781</v>
      </c>
      <c r="I5">
        <v>0.24790958904109586</v>
      </c>
      <c r="J5" s="2">
        <f t="shared" si="1"/>
        <v>0.22931369863013698</v>
      </c>
      <c r="K5">
        <v>0.30446378388734541</v>
      </c>
      <c r="L5">
        <v>0.16484828509630223</v>
      </c>
      <c r="M5" s="2">
        <f t="shared" si="2"/>
        <v>0.23465603449182382</v>
      </c>
      <c r="N5">
        <v>0.16127506849315068</v>
      </c>
      <c r="O5">
        <v>0.15658251375717144</v>
      </c>
      <c r="P5">
        <v>0.25896452406041437</v>
      </c>
      <c r="Q5">
        <v>0.17702777453427479</v>
      </c>
      <c r="R5">
        <v>0.27726027397260272</v>
      </c>
      <c r="S5" s="2">
        <f t="shared" si="3"/>
        <v>0.20876710656162695</v>
      </c>
    </row>
    <row r="6" spans="1:25" x14ac:dyDescent="0.2">
      <c r="A6">
        <v>1</v>
      </c>
      <c r="B6">
        <v>0.39595890410958906</v>
      </c>
      <c r="C6">
        <v>0.35816649104320336</v>
      </c>
      <c r="D6">
        <v>0.25042328608698217</v>
      </c>
      <c r="E6" s="2">
        <f t="shared" si="0"/>
        <v>0.3348495604132582</v>
      </c>
      <c r="F6">
        <v>0.10846189812925668</v>
      </c>
      <c r="G6">
        <v>0.24651826484018266</v>
      </c>
      <c r="H6">
        <v>0.32219178082191779</v>
      </c>
      <c r="I6">
        <v>0.39595890410958906</v>
      </c>
      <c r="J6" s="2">
        <f t="shared" si="1"/>
        <v>0.35907534246575346</v>
      </c>
      <c r="K6">
        <v>0.40015829102404449</v>
      </c>
      <c r="L6">
        <v>0.23207127407560016</v>
      </c>
      <c r="M6" s="2">
        <f t="shared" si="2"/>
        <v>0.31611478254982234</v>
      </c>
      <c r="N6">
        <v>0.29764383561643831</v>
      </c>
      <c r="O6">
        <v>0.18649249836921053</v>
      </c>
      <c r="P6">
        <v>0.33472942696572816</v>
      </c>
      <c r="Q6">
        <v>0.26802595907174409</v>
      </c>
      <c r="R6">
        <v>0.49095890410958909</v>
      </c>
      <c r="S6" s="2">
        <f t="shared" si="3"/>
        <v>0.29062384590295542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BB94-7717-F04D-B27A-C222F37E61F2}">
  <dimension ref="A1:Y6"/>
  <sheetViews>
    <sheetView workbookViewId="0">
      <selection activeCell="A2" sqref="A2"/>
    </sheetView>
  </sheetViews>
  <sheetFormatPr baseColWidth="10" defaultRowHeight="16" x14ac:dyDescent="0.2"/>
  <cols>
    <col min="5" max="5" width="11" bestFit="1" customWidth="1"/>
    <col min="10" max="10" width="11" bestFit="1" customWidth="1"/>
    <col min="13" max="13" width="11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>
        <v>1.979680365296831E-2</v>
      </c>
      <c r="C2">
        <v>2.2382332279592302E-2</v>
      </c>
      <c r="D2">
        <v>1.6460855378324077E-2</v>
      </c>
      <c r="E2" s="2">
        <f>+AVERAGE(B2:D2)</f>
        <v>1.9546663770294896E-2</v>
      </c>
      <c r="F2">
        <v>6.5479547069055739E-3</v>
      </c>
      <c r="G2">
        <v>1.5457110241356799E-2</v>
      </c>
      <c r="H2">
        <v>4.4753972602739736E-2</v>
      </c>
      <c r="I2">
        <v>2.9187123287671233E-2</v>
      </c>
      <c r="J2" s="2">
        <f>+AVERAGE(H2:I2)</f>
        <v>3.6970547945205483E-2</v>
      </c>
      <c r="K2">
        <v>2.1494202739726027E-2</v>
      </c>
      <c r="L2">
        <v>3.5319394376352176E-2</v>
      </c>
      <c r="M2" s="2">
        <f>+AVERAGE(K2:L2)</f>
        <v>2.8406798558039102E-2</v>
      </c>
      <c r="N2">
        <v>4.1221463342465757E-2</v>
      </c>
      <c r="O2">
        <v>1.9155821917808218E-2</v>
      </c>
      <c r="P2">
        <v>3.2331780821917802E-2</v>
      </c>
      <c r="Q2">
        <v>1.9424801871032411E-2</v>
      </c>
      <c r="R2">
        <v>9.5901369863013695E-3</v>
      </c>
      <c r="S2" s="2">
        <f>+AVERAGE(G2,P2)</f>
        <v>2.38944455316373E-2</v>
      </c>
    </row>
    <row r="3" spans="1:25" x14ac:dyDescent="0.2">
      <c r="A3">
        <v>0.1</v>
      </c>
      <c r="B3">
        <v>3.5901369863013698E-2</v>
      </c>
      <c r="C3">
        <v>6.0024499473129579E-2</v>
      </c>
      <c r="D3">
        <v>4.3597199986812218E-2</v>
      </c>
      <c r="E3" s="2">
        <f t="shared" ref="E3:E6" si="0">+AVERAGE(B3:D3)</f>
        <v>4.6507689774318496E-2</v>
      </c>
      <c r="F3">
        <v>1.2846905478283748E-2</v>
      </c>
      <c r="G3">
        <v>2.7046575342465767E-2</v>
      </c>
      <c r="H3">
        <v>8.2468493150684927E-2</v>
      </c>
      <c r="I3">
        <v>7.8488767123287673E-2</v>
      </c>
      <c r="J3" s="2">
        <f t="shared" ref="J3:J6" si="1">+AVERAGE(H3:I3)</f>
        <v>8.0478630136986307E-2</v>
      </c>
      <c r="K3">
        <v>6.6690442540473224E-2</v>
      </c>
      <c r="L3">
        <v>5.9558141930167861E-2</v>
      </c>
      <c r="M3" s="2">
        <f t="shared" ref="M3:M6" si="2">+AVERAGE(K3:L3)</f>
        <v>6.3124292235320539E-2</v>
      </c>
      <c r="N3">
        <v>8.0372911452054788E-2</v>
      </c>
      <c r="O3">
        <v>3.8941780821917814E-2</v>
      </c>
      <c r="P3">
        <v>5.6025479452054799E-2</v>
      </c>
      <c r="Q3">
        <v>5.1536999665887089E-2</v>
      </c>
      <c r="R3">
        <v>2.7641095890410954E-2</v>
      </c>
      <c r="S3" s="2">
        <f t="shared" ref="S3:S6" si="3">+AVERAGE(G3,P3)</f>
        <v>4.1536027397260283E-2</v>
      </c>
    </row>
    <row r="4" spans="1:25" x14ac:dyDescent="0.2">
      <c r="A4">
        <v>0.25</v>
      </c>
      <c r="B4">
        <v>6.4688584474885832E-2</v>
      </c>
      <c r="C4">
        <v>0.11228521250438893</v>
      </c>
      <c r="D4">
        <v>8.1023848396060361E-2</v>
      </c>
      <c r="E4" s="2">
        <f t="shared" si="0"/>
        <v>8.5999215125111703E-2</v>
      </c>
      <c r="F4">
        <v>3.8007431868708877E-2</v>
      </c>
      <c r="G4">
        <v>4.8278930202217872E-2</v>
      </c>
      <c r="H4">
        <v>0.25887397260273975</v>
      </c>
      <c r="I4">
        <v>0.13059890410958905</v>
      </c>
      <c r="J4" s="2">
        <f t="shared" si="1"/>
        <v>0.19473643835616439</v>
      </c>
      <c r="K4">
        <v>0.1377988131506849</v>
      </c>
      <c r="L4">
        <v>0.13707827788649707</v>
      </c>
      <c r="M4" s="2">
        <f t="shared" si="2"/>
        <v>0.13743854551859097</v>
      </c>
      <c r="N4">
        <v>0.20344543419178085</v>
      </c>
      <c r="O4">
        <v>7.4928082191780834E-2</v>
      </c>
      <c r="P4">
        <v>9.8636164383561653E-2</v>
      </c>
      <c r="Q4">
        <v>8.1062229646954004E-2</v>
      </c>
      <c r="R4">
        <v>7.155232876712328E-2</v>
      </c>
      <c r="S4" s="2">
        <f t="shared" si="3"/>
        <v>7.3457547292889766E-2</v>
      </c>
    </row>
    <row r="5" spans="1:25" x14ac:dyDescent="0.2">
      <c r="A5">
        <v>0.5</v>
      </c>
      <c r="B5">
        <v>0.16351232876712329</v>
      </c>
      <c r="C5">
        <v>0.13761775553213917</v>
      </c>
      <c r="D5">
        <v>0.12354272488545229</v>
      </c>
      <c r="E5" s="2">
        <f t="shared" si="0"/>
        <v>0.14155760306157159</v>
      </c>
      <c r="F5">
        <v>8.9578603697738943E-2</v>
      </c>
      <c r="G5">
        <v>0.13634980430528393</v>
      </c>
      <c r="H5">
        <v>0.65058356164383579</v>
      </c>
      <c r="I5">
        <v>0.33325369863013704</v>
      </c>
      <c r="J5" s="2">
        <f t="shared" si="1"/>
        <v>0.49191863013698645</v>
      </c>
      <c r="K5">
        <v>0.31348193814120145</v>
      </c>
      <c r="L5">
        <v>0.32823267071789075</v>
      </c>
      <c r="M5" s="2">
        <f t="shared" si="2"/>
        <v>0.32085730442954608</v>
      </c>
      <c r="N5">
        <v>0.57462717808219188</v>
      </c>
      <c r="O5">
        <v>0.23696004566210052</v>
      </c>
      <c r="P5">
        <v>0.15034986301369865</v>
      </c>
      <c r="Q5">
        <v>0.16563875709989978</v>
      </c>
      <c r="R5">
        <v>0.14188821917808223</v>
      </c>
      <c r="S5" s="2">
        <f t="shared" si="3"/>
        <v>0.14334983365949128</v>
      </c>
    </row>
    <row r="6" spans="1:25" x14ac:dyDescent="0.2">
      <c r="A6">
        <v>1</v>
      </c>
      <c r="B6">
        <v>0.30932808219178087</v>
      </c>
      <c r="C6">
        <v>0.26239251844046374</v>
      </c>
      <c r="D6">
        <v>0.2702889352080014</v>
      </c>
      <c r="E6" s="2">
        <f t="shared" si="0"/>
        <v>0.28066984528008199</v>
      </c>
      <c r="F6">
        <v>0.16586379218350294</v>
      </c>
      <c r="G6">
        <v>0.25862385844748864</v>
      </c>
      <c r="H6">
        <v>0.87879452054794516</v>
      </c>
      <c r="I6">
        <v>0.65851589041095904</v>
      </c>
      <c r="J6" s="2">
        <f t="shared" si="1"/>
        <v>0.7686552054794521</v>
      </c>
      <c r="K6">
        <v>0.52317344704741831</v>
      </c>
      <c r="L6">
        <v>0.44121433721289538</v>
      </c>
      <c r="M6" s="2">
        <f t="shared" si="2"/>
        <v>0.48219389213015684</v>
      </c>
      <c r="N6">
        <v>0.90269095813698652</v>
      </c>
      <c r="O6">
        <v>0.39555528375733862</v>
      </c>
      <c r="P6">
        <v>0.24091628180039137</v>
      </c>
      <c r="Q6">
        <v>0.21027879273861233</v>
      </c>
      <c r="R6">
        <v>0.18414931506849316</v>
      </c>
      <c r="S6" s="2">
        <f t="shared" si="3"/>
        <v>0.24977007012394001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0B5-37D2-964B-9DCF-F007DDDF7C62}">
  <dimension ref="A1:Y6"/>
  <sheetViews>
    <sheetView workbookViewId="0">
      <selection activeCell="A2" sqref="A2"/>
    </sheetView>
  </sheetViews>
  <sheetFormatPr baseColWidth="10" defaultRowHeight="16" x14ac:dyDescent="0.2"/>
  <cols>
    <col min="5" max="5" width="11" bestFit="1" customWidth="1"/>
    <col min="10" max="10" width="11" bestFit="1" customWidth="1"/>
    <col min="13" max="13" width="11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>
        <v>9.8630136986301367E-3</v>
      </c>
      <c r="C2">
        <v>4.0042149631190722E-3</v>
      </c>
      <c r="D2">
        <v>3.8392816236770978E-3</v>
      </c>
      <c r="E2" s="2">
        <f>+AVERAGE(B2:D2)</f>
        <v>5.9021700951421034E-3</v>
      </c>
      <c r="F2">
        <v>3.8392816236770973E-4</v>
      </c>
      <c r="G2">
        <v>3.6575342465753422E-3</v>
      </c>
      <c r="H2">
        <v>2.7397260273972606E-4</v>
      </c>
      <c r="I2">
        <v>2.7397260273972606E-4</v>
      </c>
      <c r="J2" s="2">
        <f>+AVERAGE(H2:I2)</f>
        <v>2.7397260273972606E-4</v>
      </c>
      <c r="K2">
        <v>6.8762141967621425E-3</v>
      </c>
      <c r="L2">
        <v>-2.7397260273972606E-4</v>
      </c>
      <c r="M2" s="2">
        <f>+AVERAGE(K2:L2)</f>
        <v>3.3011207970112082E-3</v>
      </c>
      <c r="N2">
        <v>6.383561643835617E-3</v>
      </c>
      <c r="O2">
        <v>0</v>
      </c>
      <c r="P2">
        <v>0</v>
      </c>
      <c r="Q2">
        <v>1.1142666221182759E-2</v>
      </c>
      <c r="R2">
        <v>2.9406392694063931E-3</v>
      </c>
      <c r="S2" s="2">
        <f>+AVERAGE(G2,P2)</f>
        <v>1.8287671232876711E-3</v>
      </c>
    </row>
    <row r="3" spans="1:25" x14ac:dyDescent="0.2">
      <c r="A3">
        <v>0.1</v>
      </c>
      <c r="B3">
        <v>2.6780821917808215E-2</v>
      </c>
      <c r="C3">
        <v>1.0139764345243742E-2</v>
      </c>
      <c r="D3">
        <v>1.414255974970233E-2</v>
      </c>
      <c r="E3" s="2">
        <f t="shared" ref="E3:E6" si="0">+AVERAGE(B3:D3)</f>
        <v>1.7021048670918096E-2</v>
      </c>
      <c r="F3">
        <v>3.1086548003048035E-3</v>
      </c>
      <c r="G3">
        <v>9.3090313111545836E-3</v>
      </c>
      <c r="H3">
        <v>2.7397260273972606E-4</v>
      </c>
      <c r="I3">
        <v>4.2739726027397262E-3</v>
      </c>
      <c r="J3" s="2">
        <f t="shared" ref="J3:J6" si="1">+AVERAGE(H3:I3)</f>
        <v>2.2739726027397262E-3</v>
      </c>
      <c r="K3">
        <v>2.3441095890410962E-2</v>
      </c>
      <c r="L3">
        <v>0</v>
      </c>
      <c r="M3" s="2">
        <f t="shared" ref="M3:M6" si="2">+AVERAGE(K3:L3)</f>
        <v>1.1720547945205481E-2</v>
      </c>
      <c r="N3">
        <v>1.6917808219178081E-2</v>
      </c>
      <c r="O3">
        <v>3.7739726027397258E-3</v>
      </c>
      <c r="P3">
        <v>4.3294520547945206E-3</v>
      </c>
      <c r="Q3">
        <v>2.6611426662211828E-2</v>
      </c>
      <c r="R3">
        <v>1.0726940639269406E-2</v>
      </c>
      <c r="S3" s="2">
        <f t="shared" ref="S3:S6" si="3">+AVERAGE(G3,P3)</f>
        <v>6.8192416829745521E-3</v>
      </c>
    </row>
    <row r="4" spans="1:25" x14ac:dyDescent="0.2">
      <c r="A4">
        <v>0.25</v>
      </c>
      <c r="B4">
        <v>4.3767123287671232E-2</v>
      </c>
      <c r="C4">
        <v>1.6973848069738517E-2</v>
      </c>
      <c r="D4">
        <v>2.0195069134636E-2</v>
      </c>
      <c r="E4" s="2">
        <f t="shared" si="0"/>
        <v>2.6978680164015251E-2</v>
      </c>
      <c r="F4">
        <v>6.1501081230225874E-3</v>
      </c>
      <c r="G4">
        <v>1.7646330724070455E-2</v>
      </c>
      <c r="H4">
        <v>2.3397260273972601E-3</v>
      </c>
      <c r="I4">
        <v>7.643835616438356E-3</v>
      </c>
      <c r="J4" s="2">
        <f t="shared" si="1"/>
        <v>4.9917808219178076E-3</v>
      </c>
      <c r="K4">
        <v>9.0766027397260279E-2</v>
      </c>
      <c r="L4">
        <v>1.2870532495622617E-3</v>
      </c>
      <c r="M4" s="2">
        <f t="shared" si="2"/>
        <v>4.6026540323411268E-2</v>
      </c>
      <c r="N4">
        <v>6.546301369863014E-2</v>
      </c>
      <c r="O4">
        <v>6.404109589041097E-3</v>
      </c>
      <c r="P4">
        <v>7.773287671232876E-3</v>
      </c>
      <c r="Q4">
        <v>5.0224226899803236E-2</v>
      </c>
      <c r="R4">
        <v>2.335525114155251E-2</v>
      </c>
      <c r="S4" s="2">
        <f t="shared" si="3"/>
        <v>1.2709809197651665E-2</v>
      </c>
    </row>
    <row r="5" spans="1:25" x14ac:dyDescent="0.2">
      <c r="A5">
        <v>0.5</v>
      </c>
      <c r="B5">
        <v>8.7923287671232878E-2</v>
      </c>
      <c r="C5">
        <v>4.6100201168694344E-2</v>
      </c>
      <c r="D5">
        <v>3.8283236693394063E-2</v>
      </c>
      <c r="E5" s="2">
        <f t="shared" si="0"/>
        <v>5.7435575177773757E-2</v>
      </c>
      <c r="F5">
        <v>2.7910393002988178E-2</v>
      </c>
      <c r="G5">
        <v>6.3892563600782798E-2</v>
      </c>
      <c r="H5">
        <v>1.8098630136986302E-2</v>
      </c>
      <c r="I5">
        <v>2.9912328767123287E-2</v>
      </c>
      <c r="J5" s="2">
        <f t="shared" si="1"/>
        <v>2.4005479452054793E-2</v>
      </c>
      <c r="K5">
        <v>0.13608894645080949</v>
      </c>
      <c r="L5">
        <v>7.8922649088474621E-3</v>
      </c>
      <c r="M5" s="2">
        <f t="shared" si="2"/>
        <v>7.199060567982847E-2</v>
      </c>
      <c r="N5">
        <v>0.11261917808219178</v>
      </c>
      <c r="O5">
        <v>3.3561643835616446E-2</v>
      </c>
      <c r="P5">
        <v>3.0587534246575343E-2</v>
      </c>
      <c r="Q5">
        <v>8.9543378995433798E-2</v>
      </c>
      <c r="R5">
        <v>5.4029589041095893E-2</v>
      </c>
      <c r="S5" s="2">
        <f t="shared" si="3"/>
        <v>4.724004892367907E-2</v>
      </c>
    </row>
    <row r="6" spans="1:25" x14ac:dyDescent="0.2">
      <c r="A6">
        <v>1</v>
      </c>
      <c r="B6">
        <v>0.13469041095890408</v>
      </c>
      <c r="C6">
        <v>9.1859373503209107E-2</v>
      </c>
      <c r="D6">
        <v>7.4761769766027969E-2</v>
      </c>
      <c r="E6" s="2">
        <f t="shared" si="0"/>
        <v>0.10043718474271372</v>
      </c>
      <c r="F6">
        <v>5.3880356199827631E-2</v>
      </c>
      <c r="G6">
        <v>0.1838293493150685</v>
      </c>
      <c r="H6">
        <v>3.3589041095890414E-2</v>
      </c>
      <c r="I6">
        <v>5.9663013698630127E-2</v>
      </c>
      <c r="J6" s="2">
        <f t="shared" si="1"/>
        <v>4.6626027397260267E-2</v>
      </c>
      <c r="K6">
        <v>0.33320169364881697</v>
      </c>
      <c r="L6">
        <v>1.3195694716242662E-2</v>
      </c>
      <c r="M6" s="2">
        <f t="shared" si="2"/>
        <v>0.17319869418252981</v>
      </c>
      <c r="N6">
        <v>0.2742356164383562</v>
      </c>
      <c r="O6">
        <v>7.1624266144814097E-2</v>
      </c>
      <c r="P6">
        <v>5.2418219178082197E-2</v>
      </c>
      <c r="Q6">
        <v>0.17875784237294429</v>
      </c>
      <c r="R6">
        <v>0.10463659056316589</v>
      </c>
      <c r="S6" s="2">
        <f t="shared" si="3"/>
        <v>0.11812378424657535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Building</vt:lpstr>
      <vt:lpstr>Machinery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Marcello Arosio</cp:lastModifiedBy>
  <dcterms:created xsi:type="dcterms:W3CDTF">2021-03-30T14:03:16Z</dcterms:created>
  <dcterms:modified xsi:type="dcterms:W3CDTF">2023-10-17T09:00:49Z</dcterms:modified>
</cp:coreProperties>
</file>