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arosio/Documents/02_Projects/01_Projects_approved/2023/"/>
    </mc:Choice>
  </mc:AlternateContent>
  <xr:revisionPtr revIDLastSave="0" documentId="13_ncr:1_{3FBE4A7C-0268-634C-9C9C-521A68A708D2}" xr6:coauthVersionLast="47" xr6:coauthVersionMax="47" xr10:uidLastSave="{00000000-0000-0000-0000-000000000000}"/>
  <bookViews>
    <workbookView xWindow="0" yWindow="500" windowWidth="19200" windowHeight="19440" xr2:uid="{4F31EA95-B5D3-E34C-8AB9-1ED0BF3A913A}"/>
  </bookViews>
  <sheets>
    <sheet name="Building" sheetId="1" r:id="rId1"/>
    <sheet name="Machinery" sheetId="4" r:id="rId2"/>
    <sheet name="Invento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5" l="1"/>
  <c r="S5" i="5"/>
  <c r="S4" i="5"/>
  <c r="S3" i="5"/>
  <c r="S2" i="5"/>
  <c r="M6" i="5"/>
  <c r="M5" i="5"/>
  <c r="M4" i="5"/>
  <c r="M3" i="5"/>
  <c r="M2" i="5"/>
  <c r="J6" i="5"/>
  <c r="J5" i="5"/>
  <c r="J4" i="5"/>
  <c r="J3" i="5"/>
  <c r="J2" i="5"/>
  <c r="E6" i="5"/>
  <c r="E5" i="5"/>
  <c r="E4" i="5"/>
  <c r="E3" i="5"/>
  <c r="E2" i="5"/>
  <c r="S6" i="4"/>
  <c r="S5" i="4"/>
  <c r="S4" i="4"/>
  <c r="S3" i="4"/>
  <c r="S2" i="4"/>
  <c r="M6" i="4"/>
  <c r="M5" i="4"/>
  <c r="M4" i="4"/>
  <c r="M3" i="4"/>
  <c r="M2" i="4"/>
  <c r="J6" i="4"/>
  <c r="J5" i="4"/>
  <c r="J4" i="4"/>
  <c r="J3" i="4"/>
  <c r="J2" i="4"/>
  <c r="E6" i="4"/>
  <c r="E5" i="4"/>
  <c r="E4" i="4"/>
  <c r="E3" i="4"/>
  <c r="E2" i="4"/>
  <c r="S2" i="1"/>
  <c r="S6" i="1"/>
  <c r="S5" i="1"/>
  <c r="S4" i="1"/>
  <c r="S3" i="1"/>
  <c r="M6" i="1"/>
  <c r="M5" i="1"/>
  <c r="M4" i="1"/>
  <c r="M3" i="1"/>
  <c r="M2" i="1"/>
  <c r="J6" i="1"/>
  <c r="J5" i="1"/>
  <c r="J4" i="1"/>
  <c r="J3" i="1"/>
  <c r="J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<sst xmlns="http://schemas.openxmlformats.org/spreadsheetml/2006/main" count="57" uniqueCount="19">
  <si>
    <t>COM_PD</t>
  </si>
  <si>
    <t>COM_GD</t>
  </si>
  <si>
    <t>COM_IN</t>
  </si>
  <si>
    <t>COM_OF</t>
  </si>
  <si>
    <t>COM_RS</t>
  </si>
  <si>
    <t>IND_HV</t>
  </si>
  <si>
    <t>IND_LG</t>
  </si>
  <si>
    <t>IND_MG</t>
  </si>
  <si>
    <t>IND_TR</t>
  </si>
  <si>
    <t>IND_HT</t>
  </si>
  <si>
    <t>IND_CS</t>
  </si>
  <si>
    <t>RES_HT</t>
  </si>
  <si>
    <t>AGR_00</t>
  </si>
  <si>
    <t>ATT_IM</t>
  </si>
  <si>
    <t>Media2</t>
  </si>
  <si>
    <t>Media1</t>
  </si>
  <si>
    <t>Media3</t>
  </si>
  <si>
    <t>Media4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</si>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</sst>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2" fontId="1" fillId="0" borderId="0" xfId="0" applyNumberFormat="1" applyFont="1"/>
    <xf numFmtId="2" fontId="0" fillId="0" borderId="0" xfId="0" quotePrefix="1" applyNumberFormat="1"/>
    <xf numFmtId="164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10E5-7C05-3844-BB9B-6098192C614A}">
  <dimension ref="A1:Y6"/>
  <sheetViews>
    <sheetView tabSelected="1" zoomScale="77" zoomScaleNormal="77" workbookViewId="0">
      <selection activeCell="A2" sqref="A2"/>
    </sheetView>
  </sheetViews>
  <sheetFormatPr baseColWidth="10" defaultRowHeight="16" x14ac:dyDescent="0.2"/>
  <cols>
    <col min="5" max="5" width="11" bestFit="1" customWidth="1"/>
    <col min="10" max="10" width="11" bestFit="1" customWidth="1"/>
    <col min="13" max="13" width="11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 s="2">
        <v>0.27533333333333299</v>
      </c>
      <c r="C2" s="2">
        <v>0.27533333333333299</v>
      </c>
      <c r="D2" s="2">
        <v>0.17367601246105899</v>
      </c>
      <c r="E2" s="5">
        <f>+AVERAGE(B2:D2)</f>
        <v>0.24144755970924167</v>
      </c>
      <c r="F2" s="2">
        <v>7.9121495327102803E-2</v>
      </c>
      <c r="G2" s="2">
        <v>0.16809523809523799</v>
      </c>
      <c r="H2" s="3">
        <v>0.19</v>
      </c>
      <c r="I2" s="2">
        <v>0.188</v>
      </c>
      <c r="J2" s="5">
        <f>+AVERAGE(H2:I2)</f>
        <v>0.189</v>
      </c>
      <c r="K2" s="2">
        <v>0.169584615384615</v>
      </c>
      <c r="L2" s="2">
        <v>0.221052631578947</v>
      </c>
      <c r="M2" s="5">
        <f>+AVERAGE(K2:L2)</f>
        <v>0.195318623481781</v>
      </c>
      <c r="N2" s="3">
        <v>0.17546</v>
      </c>
      <c r="O2" s="2">
        <v>0.20383333333333301</v>
      </c>
      <c r="P2" s="2">
        <v>0.40383333333333299</v>
      </c>
      <c r="Q2" s="2">
        <v>0.19152249134948099</v>
      </c>
      <c r="R2" s="2">
        <v>0.27</v>
      </c>
      <c r="S2" s="5">
        <f>+AVERAGE(G2,P2)</f>
        <v>0.2859642857142855</v>
      </c>
    </row>
    <row r="3" spans="1:25" x14ac:dyDescent="0.2">
      <c r="A3">
        <v>0.1</v>
      </c>
      <c r="B3" s="2">
        <v>0.29699999999999999</v>
      </c>
      <c r="C3" s="2">
        <v>0.29699999999999999</v>
      </c>
      <c r="D3" s="2">
        <v>0.193271028037383</v>
      </c>
      <c r="E3" s="5">
        <f t="shared" ref="E3:E6" si="0">+AVERAGE(B3:D3)</f>
        <v>0.26242367601246097</v>
      </c>
      <c r="F3" s="2">
        <v>0.10552336448598129</v>
      </c>
      <c r="G3" s="2">
        <v>0.18071428571428499</v>
      </c>
      <c r="H3" s="3">
        <v>0.25</v>
      </c>
      <c r="I3" s="2">
        <v>0.22550000000000001</v>
      </c>
      <c r="J3" s="5">
        <f t="shared" ref="J3:J6" si="1">+AVERAGE(H3:I3)</f>
        <v>0.23775000000000002</v>
      </c>
      <c r="K3" s="2">
        <v>0.22500000000000001</v>
      </c>
      <c r="L3" s="2">
        <v>0.287368421052631</v>
      </c>
      <c r="M3" s="5">
        <f t="shared" ref="M3:M6" si="2">+AVERAGE(K3:L3)</f>
        <v>0.25618421052631551</v>
      </c>
      <c r="N3" s="3">
        <v>0.22500000000000001</v>
      </c>
      <c r="O3" s="2">
        <v>0.261125</v>
      </c>
      <c r="P3" s="2">
        <v>0.46112500000000001</v>
      </c>
      <c r="Q3" s="2">
        <v>0.23342560553633199</v>
      </c>
      <c r="R3" s="2">
        <v>0.34</v>
      </c>
      <c r="S3" s="5">
        <f t="shared" ref="S3:S6" si="3">+AVERAGE(G3,P3)</f>
        <v>0.32091964285714247</v>
      </c>
    </row>
    <row r="4" spans="1:25" x14ac:dyDescent="0.2">
      <c r="A4">
        <v>0.25</v>
      </c>
      <c r="B4" s="2">
        <v>0.353333333333333</v>
      </c>
      <c r="C4" s="2">
        <v>0.353333333333333</v>
      </c>
      <c r="D4" s="2">
        <v>0.24591900311526499</v>
      </c>
      <c r="E4" s="5">
        <f t="shared" si="0"/>
        <v>0.317528556593977</v>
      </c>
      <c r="F4" s="2">
        <v>0.17028037383177572</v>
      </c>
      <c r="G4" s="2">
        <v>0.22095238095238101</v>
      </c>
      <c r="H4" s="3">
        <v>0.27</v>
      </c>
      <c r="I4" s="2">
        <v>0.35</v>
      </c>
      <c r="J4" s="5">
        <f t="shared" si="1"/>
        <v>0.31</v>
      </c>
      <c r="K4" s="2">
        <v>0.34720000000000001</v>
      </c>
      <c r="L4" s="2">
        <v>0.30842105263157898</v>
      </c>
      <c r="M4" s="5">
        <f t="shared" si="2"/>
        <v>0.3278105263157895</v>
      </c>
      <c r="N4" s="3">
        <v>0.2472</v>
      </c>
      <c r="O4" s="2">
        <v>0.36666666666666697</v>
      </c>
      <c r="P4" s="2">
        <v>0.46666666666666701</v>
      </c>
      <c r="Q4" s="2">
        <v>0.27494809688581301</v>
      </c>
      <c r="R4" s="2">
        <v>0.43</v>
      </c>
      <c r="S4" s="5">
        <f t="shared" si="3"/>
        <v>0.34380952380952401</v>
      </c>
    </row>
    <row r="5" spans="1:25" x14ac:dyDescent="0.2">
      <c r="A5">
        <v>0.5</v>
      </c>
      <c r="B5" s="2">
        <v>0.456666666666667</v>
      </c>
      <c r="C5" s="2">
        <v>0.44666666666666699</v>
      </c>
      <c r="D5" s="2">
        <v>0.33838006230529599</v>
      </c>
      <c r="E5" s="5">
        <f t="shared" si="0"/>
        <v>0.41390446521287666</v>
      </c>
      <c r="F5" s="2">
        <v>0.17560747663551399</v>
      </c>
      <c r="G5" s="2">
        <v>0.31047619047619002</v>
      </c>
      <c r="H5" s="3">
        <v>0.38</v>
      </c>
      <c r="I5" s="2">
        <v>0.41</v>
      </c>
      <c r="J5" s="5">
        <f t="shared" si="1"/>
        <v>0.39500000000000002</v>
      </c>
      <c r="K5" s="2">
        <v>0.42967384615384602</v>
      </c>
      <c r="L5" s="2">
        <v>0.40421052631578902</v>
      </c>
      <c r="M5" s="5">
        <f t="shared" si="2"/>
        <v>0.41694218623481749</v>
      </c>
      <c r="N5" s="3">
        <v>0.29730000000000001</v>
      </c>
      <c r="O5" s="2">
        <v>0.38916666666666699</v>
      </c>
      <c r="P5" s="2">
        <v>0.48916666666666703</v>
      </c>
      <c r="Q5" s="2">
        <v>0.38608996539792401</v>
      </c>
      <c r="R5" s="2">
        <v>0.5</v>
      </c>
      <c r="S5" s="5">
        <f t="shared" si="3"/>
        <v>0.39982142857142855</v>
      </c>
    </row>
    <row r="6" spans="1:25" x14ac:dyDescent="0.2">
      <c r="A6">
        <v>1</v>
      </c>
      <c r="B6" s="2">
        <v>0.47</v>
      </c>
      <c r="C6" s="2">
        <v>0.55000000000000004</v>
      </c>
      <c r="D6" s="2">
        <v>0.440841121495327</v>
      </c>
      <c r="E6" s="5">
        <f t="shared" si="0"/>
        <v>0.48694704049844234</v>
      </c>
      <c r="F6" s="2">
        <v>0.19093457943925199</v>
      </c>
      <c r="G6" s="2">
        <v>0.35</v>
      </c>
      <c r="H6" s="3">
        <v>0.42</v>
      </c>
      <c r="I6" s="2">
        <v>0.47</v>
      </c>
      <c r="J6" s="5">
        <f t="shared" si="1"/>
        <v>0.44499999999999995</v>
      </c>
      <c r="K6" s="2">
        <v>0.51676923076923098</v>
      </c>
      <c r="L6" s="2">
        <v>0.42052631578947403</v>
      </c>
      <c r="M6" s="5">
        <f t="shared" si="2"/>
        <v>0.46864777327935248</v>
      </c>
      <c r="N6" s="3">
        <v>0.35</v>
      </c>
      <c r="O6" s="2">
        <v>0.39758333333333301</v>
      </c>
      <c r="P6" s="2">
        <v>0.59758333333333302</v>
      </c>
      <c r="Q6" s="2">
        <v>0.427993079584775</v>
      </c>
      <c r="R6" s="2">
        <v>0.64</v>
      </c>
      <c r="S6" s="5">
        <f t="shared" si="3"/>
        <v>0.4737916666666665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BB94-7717-F04D-B27A-C222F37E61F2}">
  <dimension ref="A1:Y6"/>
  <sheetViews>
    <sheetView workbookViewId="0">
      <selection activeCell="A2" sqref="A2"/>
    </sheetView>
  </sheetViews>
  <sheetFormatPr baseColWidth="10" defaultRowHeight="16" x14ac:dyDescent="0.2"/>
  <cols>
    <col min="2" max="4" width="11.6640625" bestFit="1" customWidth="1"/>
    <col min="5" max="5" width="11" bestFit="1" customWidth="1"/>
    <col min="6" max="9" width="11.6640625" bestFit="1" customWidth="1"/>
    <col min="10" max="10" width="11" bestFit="1" customWidth="1"/>
    <col min="11" max="12" width="11.6640625" bestFit="1" customWidth="1"/>
    <col min="13" max="13" width="11" bestFit="1" customWidth="1"/>
    <col min="14" max="18" width="11.6640625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 s="2">
        <v>0.24166666666667</v>
      </c>
      <c r="C2" s="2">
        <v>0.29583333333333001</v>
      </c>
      <c r="D2" s="2">
        <v>0.225685358255452</v>
      </c>
      <c r="E2" s="5">
        <f>+AVERAGE(B2:D2)</f>
        <v>0.25439511941848397</v>
      </c>
      <c r="F2" s="2">
        <v>8.9775255896751227E-2</v>
      </c>
      <c r="G2" s="3">
        <v>0.18869047999999999</v>
      </c>
      <c r="H2" s="2">
        <v>0.28000000000000003</v>
      </c>
      <c r="I2" s="3">
        <v>0.26700000000000002</v>
      </c>
      <c r="J2" s="5">
        <f>+AVERAGE(H2:I2)</f>
        <v>0.27350000000000002</v>
      </c>
      <c r="K2" s="2">
        <v>0.2616</v>
      </c>
      <c r="L2" s="2">
        <v>0.38947368421053002</v>
      </c>
      <c r="M2" s="5">
        <f>+AVERAGE(K2:L2)</f>
        <v>0.32553684210526501</v>
      </c>
      <c r="N2" s="2">
        <v>0.29508000000000001</v>
      </c>
      <c r="O2" s="2">
        <v>0.2475</v>
      </c>
      <c r="P2" s="2">
        <v>0.20849999999999999</v>
      </c>
      <c r="Q2" s="2">
        <v>0.25824000000000003</v>
      </c>
      <c r="R2" s="2">
        <v>0.12</v>
      </c>
      <c r="S2" s="5">
        <f>+AVERAGE(G2,P2)</f>
        <v>0.19859524000000001</v>
      </c>
    </row>
    <row r="3" spans="1:25" x14ac:dyDescent="0.2">
      <c r="A3">
        <v>0.1</v>
      </c>
      <c r="B3" s="2">
        <v>0.29249999999999998</v>
      </c>
      <c r="C3" s="2">
        <v>0.36375000000000002</v>
      </c>
      <c r="D3" s="2">
        <v>0.25565420560747698</v>
      </c>
      <c r="E3" s="5">
        <f t="shared" ref="E3:E6" si="0">+AVERAGE(B3:D3)</f>
        <v>0.30396806853582564</v>
      </c>
      <c r="F3" s="2">
        <v>0.12261014686248331</v>
      </c>
      <c r="G3" s="3">
        <v>0.22035714000000001</v>
      </c>
      <c r="H3" s="2">
        <v>0.31</v>
      </c>
      <c r="I3" s="3">
        <v>0.38300000000000001</v>
      </c>
      <c r="J3" s="5">
        <f t="shared" ref="J3:J6" si="1">+AVERAGE(H3:I3)</f>
        <v>0.34650000000000003</v>
      </c>
      <c r="K3" s="2">
        <v>0.34132000000000001</v>
      </c>
      <c r="L3" s="2">
        <v>0.394736842105263</v>
      </c>
      <c r="M3" s="5">
        <f t="shared" ref="M3:M6" si="2">+AVERAGE(K3:L3)</f>
        <v>0.3680284210526315</v>
      </c>
      <c r="N3" s="2">
        <v>0.34132000000000001</v>
      </c>
      <c r="O3" s="2">
        <v>0.34250000000000003</v>
      </c>
      <c r="P3" s="2">
        <v>0.26150000000000001</v>
      </c>
      <c r="Q3" s="2">
        <v>0.36096</v>
      </c>
      <c r="R3" s="2">
        <v>0.18</v>
      </c>
      <c r="S3" s="5">
        <f t="shared" ref="S3:S6" si="3">+AVERAGE(G3,P3)</f>
        <v>0.24092857000000001</v>
      </c>
    </row>
    <row r="4" spans="1:25" x14ac:dyDescent="0.2">
      <c r="A4">
        <v>0.25</v>
      </c>
      <c r="B4" s="2">
        <v>0.35666666666666663</v>
      </c>
      <c r="C4" s="2">
        <v>0.38833333333333331</v>
      </c>
      <c r="D4" s="2">
        <v>0.36554517133956382</v>
      </c>
      <c r="E4" s="5">
        <f t="shared" si="0"/>
        <v>0.37018172377985459</v>
      </c>
      <c r="F4" s="2">
        <v>0.27253226524254559</v>
      </c>
      <c r="G4" s="3">
        <v>0.26619048000000001</v>
      </c>
      <c r="H4" s="2">
        <v>0.61</v>
      </c>
      <c r="I4" s="3">
        <v>0.55300000000000005</v>
      </c>
      <c r="J4" s="5">
        <f t="shared" si="1"/>
        <v>0.58150000000000002</v>
      </c>
      <c r="K4" s="2">
        <v>0.67612000000000005</v>
      </c>
      <c r="L4" s="2">
        <v>0.43</v>
      </c>
      <c r="M4" s="5">
        <f t="shared" si="2"/>
        <v>0.55306</v>
      </c>
      <c r="N4" s="2">
        <v>0.67612000000000005</v>
      </c>
      <c r="O4" s="2">
        <v>0.46750000000000003</v>
      </c>
      <c r="P4" s="2">
        <v>0.39650000000000002</v>
      </c>
      <c r="Q4" s="2">
        <v>0.39535999999999999</v>
      </c>
      <c r="R4" s="2">
        <v>0.26799999999999996</v>
      </c>
      <c r="S4" s="5">
        <f t="shared" si="3"/>
        <v>0.33134523999999999</v>
      </c>
    </row>
    <row r="5" spans="1:25" x14ac:dyDescent="0.2">
      <c r="A5">
        <v>0.5</v>
      </c>
      <c r="B5" s="2">
        <v>0.36749999999999999</v>
      </c>
      <c r="C5" s="2">
        <v>0.39125000000000021</v>
      </c>
      <c r="D5" s="2">
        <v>0.39696261682243</v>
      </c>
      <c r="E5" s="5">
        <f t="shared" si="0"/>
        <v>0.38523753894081009</v>
      </c>
      <c r="F5" s="2">
        <v>0.28783044058745</v>
      </c>
      <c r="G5" s="3">
        <v>0.36107143000000003</v>
      </c>
      <c r="H5" s="2">
        <v>0.83000000000000007</v>
      </c>
      <c r="I5" s="3">
        <v>0.749</v>
      </c>
      <c r="J5" s="5">
        <f t="shared" si="1"/>
        <v>0.78950000000000009</v>
      </c>
      <c r="K5" s="2">
        <v>0.69879630769230805</v>
      </c>
      <c r="L5" s="2">
        <v>0.57421052631578962</v>
      </c>
      <c r="M5" s="5">
        <f t="shared" si="2"/>
        <v>0.63650341700404889</v>
      </c>
      <c r="N5" s="2">
        <v>0.92396000000000011</v>
      </c>
      <c r="O5" s="2">
        <v>0.62750000000000017</v>
      </c>
      <c r="P5" s="2">
        <v>0.48449999999999999</v>
      </c>
      <c r="Q5" s="2">
        <v>0.48287999999999998</v>
      </c>
      <c r="R5" s="2">
        <v>0.34400000000000008</v>
      </c>
      <c r="S5" s="5">
        <f t="shared" si="3"/>
        <v>0.42278571500000001</v>
      </c>
    </row>
    <row r="6" spans="1:25" x14ac:dyDescent="0.2">
      <c r="A6">
        <v>1</v>
      </c>
      <c r="B6" s="2">
        <v>0.37250000000000005</v>
      </c>
      <c r="C6" s="2">
        <v>0.40875000000000011</v>
      </c>
      <c r="D6" s="2">
        <v>0.48266355140186901</v>
      </c>
      <c r="E6" s="5">
        <f t="shared" si="0"/>
        <v>0.42130451713395639</v>
      </c>
      <c r="F6" s="2">
        <v>0.296188251001335</v>
      </c>
      <c r="G6" s="3">
        <v>0.3725</v>
      </c>
      <c r="H6" s="2">
        <v>0.88</v>
      </c>
      <c r="I6" s="3">
        <v>0.79300000000000004</v>
      </c>
      <c r="J6" s="5">
        <f t="shared" si="1"/>
        <v>0.83650000000000002</v>
      </c>
      <c r="K6" s="2">
        <v>0.74648492307692305</v>
      </c>
      <c r="L6" s="2">
        <v>0.60526315789473695</v>
      </c>
      <c r="M6" s="5">
        <f t="shared" si="2"/>
        <v>0.67587404048583</v>
      </c>
      <c r="N6" s="2">
        <v>0.98092000000000001</v>
      </c>
      <c r="O6" s="2">
        <v>0.66250000000000009</v>
      </c>
      <c r="P6" s="2">
        <v>0.50149999999999995</v>
      </c>
      <c r="Q6" s="2">
        <v>0.49975999999999998</v>
      </c>
      <c r="R6" s="2">
        <v>0.35800000000000004</v>
      </c>
      <c r="S6" s="5">
        <f t="shared" si="3"/>
        <v>0.43699999999999994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0B5-37D2-964B-9DCF-F007DDDF7C62}">
  <dimension ref="A1:Y6"/>
  <sheetViews>
    <sheetView workbookViewId="0">
      <selection activeCell="A2" sqref="A2"/>
    </sheetView>
  </sheetViews>
  <sheetFormatPr baseColWidth="10" defaultRowHeight="16" x14ac:dyDescent="0.2"/>
  <cols>
    <col min="2" max="4" width="11.6640625" bestFit="1" customWidth="1"/>
    <col min="5" max="5" width="11" bestFit="1" customWidth="1"/>
    <col min="6" max="9" width="11.6640625" bestFit="1" customWidth="1"/>
    <col min="10" max="10" width="11" bestFit="1" customWidth="1"/>
    <col min="11" max="11" width="11.83203125" bestFit="1" customWidth="1"/>
    <col min="12" max="12" width="11.6640625" bestFit="1" customWidth="1"/>
    <col min="13" max="13" width="11" bestFit="1" customWidth="1"/>
    <col min="14" max="14" width="11.83203125" bestFit="1" customWidth="1"/>
    <col min="15" max="16" width="11.6640625" bestFit="1" customWidth="1"/>
    <col min="17" max="18" width="11.83203125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 s="4">
        <v>0.2</v>
      </c>
      <c r="C2" s="4">
        <v>0.2</v>
      </c>
      <c r="D2" s="3">
        <v>0.2</v>
      </c>
      <c r="E2" s="5">
        <f>+AVERAGE(B2:D2)</f>
        <v>0.20000000000000004</v>
      </c>
      <c r="F2" s="4">
        <v>0.02</v>
      </c>
      <c r="G2" s="4">
        <v>0.15</v>
      </c>
      <c r="H2" s="4">
        <v>0.02</v>
      </c>
      <c r="I2" s="4">
        <v>0.02</v>
      </c>
      <c r="J2" s="5">
        <f>+AVERAGE(H2:I2)</f>
        <v>0.02</v>
      </c>
      <c r="K2" s="4">
        <v>0.11600000000000001</v>
      </c>
      <c r="L2" s="3">
        <v>0.02</v>
      </c>
      <c r="M2" s="5">
        <f>+AVERAGE(K2:L2)</f>
        <v>6.8000000000000005E-2</v>
      </c>
      <c r="N2" s="4">
        <v>0.1</v>
      </c>
      <c r="O2" s="4">
        <v>0.12</v>
      </c>
      <c r="P2" s="4">
        <v>0.02</v>
      </c>
      <c r="Q2" s="4">
        <v>0.28999999999999998</v>
      </c>
      <c r="R2" s="3">
        <v>6.6666669999999997E-2</v>
      </c>
      <c r="S2" s="5">
        <f>+AVERAGE(G2,P2)</f>
        <v>8.4999999999999992E-2</v>
      </c>
    </row>
    <row r="3" spans="1:25" x14ac:dyDescent="0.2">
      <c r="A3">
        <v>0.1</v>
      </c>
      <c r="B3" s="2">
        <v>0.28749999999999998</v>
      </c>
      <c r="C3" s="2">
        <v>0.28136363636363598</v>
      </c>
      <c r="D3" s="3">
        <v>0.27734919000000002</v>
      </c>
      <c r="E3" s="5">
        <f t="shared" ref="E3:E6" si="0">+AVERAGE(B3:D3)</f>
        <v>0.28207094212121198</v>
      </c>
      <c r="F3" s="2">
        <v>6.0963709188008253E-2</v>
      </c>
      <c r="G3" s="2">
        <v>0.282678571428571</v>
      </c>
      <c r="H3" s="2">
        <v>0.02</v>
      </c>
      <c r="I3" s="2">
        <v>0.15</v>
      </c>
      <c r="J3" s="5">
        <f t="shared" ref="J3:J6" si="1">+AVERAGE(H3:I3)</f>
        <v>8.4999999999999992E-2</v>
      </c>
      <c r="K3" s="2">
        <v>0.28520000000000006</v>
      </c>
      <c r="L3" s="3">
        <v>0.02</v>
      </c>
      <c r="M3" s="5">
        <f t="shared" ref="M3:M6" si="2">+AVERAGE(K3:L3)</f>
        <v>0.15260000000000004</v>
      </c>
      <c r="N3" s="2">
        <v>0.19</v>
      </c>
      <c r="O3" s="2">
        <v>0.14499999999999999</v>
      </c>
      <c r="P3" s="2">
        <v>0.15</v>
      </c>
      <c r="Q3" s="2">
        <v>0.36</v>
      </c>
      <c r="R3" s="3">
        <v>0.14000000000000001</v>
      </c>
      <c r="S3" s="5">
        <f t="shared" ref="S3:S6" si="3">+AVERAGE(G3,P3)</f>
        <v>0.21633928571428551</v>
      </c>
    </row>
    <row r="4" spans="1:25" x14ac:dyDescent="0.2">
      <c r="A4">
        <v>0.25</v>
      </c>
      <c r="B4" s="2">
        <v>0.35499999999999998</v>
      </c>
      <c r="C4" s="2">
        <v>0.34272727272727299</v>
      </c>
      <c r="D4" s="3">
        <v>0.33469839000000001</v>
      </c>
      <c r="E4" s="5">
        <f t="shared" si="0"/>
        <v>0.34414188757575764</v>
      </c>
      <c r="F4" s="2">
        <v>0.10192741837601652</v>
      </c>
      <c r="G4" s="2">
        <v>0.34535714285714297</v>
      </c>
      <c r="H4" s="2">
        <v>7.0000000000000007E-2</v>
      </c>
      <c r="I4" s="2">
        <v>0.18</v>
      </c>
      <c r="J4" s="5">
        <f t="shared" si="1"/>
        <v>0.125</v>
      </c>
      <c r="K4" s="2">
        <v>0.39440000000000003</v>
      </c>
      <c r="L4" s="3">
        <v>4.6315790000000003E-2</v>
      </c>
      <c r="M4" s="5">
        <f t="shared" si="2"/>
        <v>0.22035789500000003</v>
      </c>
      <c r="N4" s="2">
        <v>0.26</v>
      </c>
      <c r="O4" s="2">
        <v>0.17</v>
      </c>
      <c r="P4" s="2">
        <v>0.18</v>
      </c>
      <c r="Q4" s="2">
        <v>0.49</v>
      </c>
      <c r="R4" s="3">
        <v>0.19</v>
      </c>
      <c r="S4" s="5">
        <f t="shared" si="3"/>
        <v>0.26267857142857148</v>
      </c>
    </row>
    <row r="5" spans="1:25" x14ac:dyDescent="0.2">
      <c r="A5">
        <v>0.5</v>
      </c>
      <c r="B5" s="2">
        <v>0.45200000000000001</v>
      </c>
      <c r="C5" s="2">
        <v>0.412727272727273</v>
      </c>
      <c r="D5" s="3">
        <v>0.38703483</v>
      </c>
      <c r="E5" s="5">
        <f t="shared" si="0"/>
        <v>0.4172540342424243</v>
      </c>
      <c r="F5" s="2">
        <v>0.28216773880325285</v>
      </c>
      <c r="G5" s="2">
        <v>0.42114285714285721</v>
      </c>
      <c r="H5" s="2">
        <v>0.18</v>
      </c>
      <c r="I5" s="2">
        <v>0.21199999999999999</v>
      </c>
      <c r="J5" s="5">
        <f t="shared" si="1"/>
        <v>0.19600000000000001</v>
      </c>
      <c r="K5" s="2">
        <v>0.45008000000000009</v>
      </c>
      <c r="L5" s="3">
        <v>0.10421053</v>
      </c>
      <c r="M5" s="5">
        <f t="shared" si="2"/>
        <v>0.27714526500000003</v>
      </c>
      <c r="N5" s="2">
        <v>0.34</v>
      </c>
      <c r="O5" s="2">
        <v>0.28000000000000003</v>
      </c>
      <c r="P5" s="2">
        <v>0.21199999999999999</v>
      </c>
      <c r="Q5" s="2">
        <v>0.53</v>
      </c>
      <c r="R5" s="3">
        <v>0.26400000000000001</v>
      </c>
      <c r="S5" s="5">
        <f t="shared" si="3"/>
        <v>0.31657142857142861</v>
      </c>
    </row>
    <row r="6" spans="1:25" x14ac:dyDescent="0.2">
      <c r="A6">
        <v>1</v>
      </c>
      <c r="B6" s="2">
        <v>0.52299999999999991</v>
      </c>
      <c r="C6" s="2">
        <v>0.47636363636363627</v>
      </c>
      <c r="D6" s="3">
        <v>0.44585386999999999</v>
      </c>
      <c r="E6" s="5">
        <f t="shared" si="0"/>
        <v>0.48173916878787876</v>
      </c>
      <c r="F6" s="2">
        <v>0.32132418982886268</v>
      </c>
      <c r="G6" s="2">
        <v>0.67689999999999995</v>
      </c>
      <c r="H6" s="2">
        <v>0.2</v>
      </c>
      <c r="I6" s="2">
        <v>0.23799999999999999</v>
      </c>
      <c r="J6" s="5">
        <f t="shared" si="1"/>
        <v>0.219</v>
      </c>
      <c r="K6" s="2">
        <v>0.61480000000000012</v>
      </c>
      <c r="L6" s="3">
        <v>0.11</v>
      </c>
      <c r="M6" s="5">
        <f t="shared" si="2"/>
        <v>0.36240000000000006</v>
      </c>
      <c r="N6" s="2">
        <v>0.46</v>
      </c>
      <c r="O6" s="2">
        <v>0.4</v>
      </c>
      <c r="P6" s="2">
        <v>0.23799999999999999</v>
      </c>
      <c r="Q6" s="2">
        <v>0.65</v>
      </c>
      <c r="R6" s="3">
        <v>0.30933333000000002</v>
      </c>
      <c r="S6" s="5">
        <f t="shared" si="3"/>
        <v>0.45744999999999997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Building</vt:lpstr>
      <vt:lpstr>Machinery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Marcello Arosio</cp:lastModifiedBy>
  <dcterms:created xsi:type="dcterms:W3CDTF">2021-03-30T14:03:16Z</dcterms:created>
  <dcterms:modified xsi:type="dcterms:W3CDTF">2023-10-17T09:00:15Z</dcterms:modified>
</cp:coreProperties>
</file>