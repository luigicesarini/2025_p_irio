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oarosio/Documents/02_Projects/01_Projects_approved/2023/"/>
    </mc:Choice>
  </mc:AlternateContent>
  <xr:revisionPtr revIDLastSave="0" documentId="13_ncr:1_{E2601811-0E3C-984A-AAF7-E2CCA8DC8CCC}" xr6:coauthVersionLast="47" xr6:coauthVersionMax="47" xr10:uidLastSave="{00000000-0000-0000-0000-000000000000}"/>
  <bookViews>
    <workbookView xWindow="0" yWindow="500" windowWidth="38400" windowHeight="19440" activeTab="2" xr2:uid="{4F31EA95-B5D3-E34C-8AB9-1ED0BF3A913A}"/>
  </bookViews>
  <sheets>
    <sheet name="Building" sheetId="1" r:id="rId1"/>
    <sheet name="Machinery" sheetId="4" r:id="rId2"/>
    <sheet name="Inventor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4" l="1"/>
  <c r="S5" i="4"/>
  <c r="S4" i="4"/>
  <c r="S3" i="4"/>
  <c r="S2" i="4"/>
  <c r="M6" i="4"/>
  <c r="M5" i="4"/>
  <c r="M4" i="4"/>
  <c r="M3" i="4"/>
  <c r="M2" i="4"/>
  <c r="J6" i="4"/>
  <c r="J5" i="4"/>
  <c r="J4" i="4"/>
  <c r="J3" i="4"/>
  <c r="J2" i="4"/>
  <c r="E6" i="4"/>
  <c r="E5" i="4"/>
  <c r="E4" i="4"/>
  <c r="E3" i="4"/>
  <c r="E2" i="4"/>
  <c r="S6" i="1"/>
  <c r="S5" i="1"/>
  <c r="S4" i="1"/>
  <c r="S3" i="1"/>
  <c r="S2" i="1"/>
  <c r="M6" i="1"/>
  <c r="M5" i="1"/>
  <c r="M4" i="1"/>
  <c r="M3" i="1"/>
  <c r="M2" i="1"/>
  <c r="J6" i="1"/>
  <c r="J5" i="1"/>
  <c r="J4" i="1"/>
  <c r="J3" i="1"/>
  <c r="J2" i="1"/>
  <c r="E6" i="1"/>
  <c r="E5" i="1"/>
  <c r="E4" i="1"/>
  <c r="E3" i="1"/>
  <c r="E2" i="1"/>
  <c r="S3" i="5"/>
  <c r="S4" i="5"/>
  <c r="S5" i="5"/>
  <c r="S6" i="5"/>
  <c r="S2" i="5"/>
  <c r="M6" i="5"/>
  <c r="M5" i="5"/>
  <c r="M4" i="5"/>
  <c r="M3" i="5"/>
  <c r="M2" i="5"/>
  <c r="J6" i="5"/>
  <c r="J5" i="5"/>
  <c r="J4" i="5"/>
  <c r="J3" i="5"/>
  <c r="J2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<sst xmlns="http://schemas.openxmlformats.org/spreadsheetml/2006/main" count="57" uniqueCount="19">
  <si>
    <t>COM_PD</t>
  </si>
  <si>
    <t>COM_GD</t>
  </si>
  <si>
    <t>COM_IN</t>
  </si>
  <si>
    <t>COM_OF</t>
  </si>
  <si>
    <t>COM_RS</t>
  </si>
  <si>
    <t>IND_HV</t>
  </si>
  <si>
    <t>IND_LG</t>
  </si>
  <si>
    <t>IND_MG</t>
  </si>
  <si>
    <t>IND_TR</t>
  </si>
  <si>
    <t>IND_HT</t>
  </si>
  <si>
    <t>IND_CS</t>
  </si>
  <si>
    <t>RES_HT</t>
  </si>
  <si>
    <t>AGR_00</t>
  </si>
  <si>
    <t>ATT_IM</t>
  </si>
  <si>
    <t>Media2</t>
  </si>
  <si>
    <t>Media1</t>
  </si>
  <si>
    <t>Media3</t>
  </si>
  <si>
    <t>Media4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</si>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</sst>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165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10E5-7C05-3844-BB9B-6098192C614A}">
  <dimension ref="A1:Y6"/>
  <sheetViews>
    <sheetView workbookViewId="0">
      <selection activeCell="A2" sqref="A2"/>
    </sheetView>
  </sheetViews>
  <sheetFormatPr baseColWidth="10" defaultRowHeight="16" x14ac:dyDescent="0.2"/>
  <cols>
    <col min="5" max="5" width="11" bestFit="1" customWidth="1"/>
    <col min="10" max="10" width="11" bestFit="1" customWidth="1"/>
    <col min="13" max="13" width="11" bestFit="1" customWidth="1"/>
  </cols>
  <sheetData>
    <row r="1" spans="1:25" x14ac:dyDescent="0.2">
      <c r="A1" t="s">
        <v>18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6" t="s">
        <v>15</v>
      </c>
      <c r="K1" s="1" t="s">
        <v>7</v>
      </c>
      <c r="L1" s="1" t="s">
        <v>8</v>
      </c>
      <c r="M1" s="1" t="s">
        <v>16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17</v>
      </c>
      <c r="T1" s="1"/>
      <c r="U1" s="1"/>
      <c r="V1" s="1"/>
      <c r="W1" s="1"/>
      <c r="X1" s="1"/>
      <c r="Y1" s="1"/>
    </row>
    <row r="2" spans="1:25" x14ac:dyDescent="0.2">
      <c r="A2">
        <v>0.05</v>
      </c>
      <c r="B2" s="4">
        <v>49.7</v>
      </c>
      <c r="C2" s="4">
        <v>42.846153846153847</v>
      </c>
      <c r="D2" s="4">
        <v>39.866220735785959</v>
      </c>
      <c r="E2" s="5">
        <f>+AVERAGE(B2:D2)</f>
        <v>44.137458193979938</v>
      </c>
      <c r="F2" s="4">
        <v>39.866220735785959</v>
      </c>
      <c r="G2" s="4">
        <v>49.7</v>
      </c>
      <c r="H2" s="4">
        <v>47.8</v>
      </c>
      <c r="I2" s="4">
        <v>49.7</v>
      </c>
      <c r="J2" s="5">
        <f>+AVERAGE(H2:I2)</f>
        <v>48.75</v>
      </c>
      <c r="K2" s="4">
        <v>32</v>
      </c>
      <c r="L2" s="4">
        <v>39.857142857142861</v>
      </c>
      <c r="M2" s="5">
        <f>+AVERAGE(K2:L2)</f>
        <v>35.928571428571431</v>
      </c>
      <c r="N2" s="4">
        <v>33.200000000000003</v>
      </c>
      <c r="O2" s="4">
        <v>39.03846153846154</v>
      </c>
      <c r="P2" s="4">
        <v>72.846153846153797</v>
      </c>
      <c r="Q2" s="4">
        <v>42.601626016260163</v>
      </c>
      <c r="R2" s="4">
        <v>57.8</v>
      </c>
      <c r="S2" s="5">
        <f>+AVERAGE(G2,P2)</f>
        <v>61.2730769230769</v>
      </c>
    </row>
    <row r="3" spans="1:25" x14ac:dyDescent="0.2">
      <c r="A3">
        <v>0.1</v>
      </c>
      <c r="B3" s="4">
        <v>63.5</v>
      </c>
      <c r="C3" s="4">
        <v>64.615384615384599</v>
      </c>
      <c r="D3" s="4">
        <v>70.752508361203994</v>
      </c>
      <c r="E3" s="5">
        <f t="shared" ref="E3:E6" si="0">+AVERAGE(B3:D3)</f>
        <v>66.28929765886285</v>
      </c>
      <c r="F3" s="4">
        <v>50.752508361204015</v>
      </c>
      <c r="G3" s="4">
        <v>63.5</v>
      </c>
      <c r="H3" s="4">
        <v>60.3</v>
      </c>
      <c r="I3" s="4">
        <v>63.5</v>
      </c>
      <c r="J3" s="5">
        <f t="shared" ref="J3:J6" si="1">+AVERAGE(H3:I3)</f>
        <v>61.9</v>
      </c>
      <c r="K3" s="4">
        <v>64.090909090909093</v>
      </c>
      <c r="L3" s="4">
        <v>60.214285714285701</v>
      </c>
      <c r="M3" s="5">
        <f t="shared" ref="M3:M6" si="2">+AVERAGE(K3:L3)</f>
        <v>62.152597402597394</v>
      </c>
      <c r="N3" s="4">
        <v>68</v>
      </c>
      <c r="O3" s="4">
        <v>49.679487179487182</v>
      </c>
      <c r="P3" s="4">
        <v>94.615384615384599</v>
      </c>
      <c r="Q3" s="4">
        <v>53.699186991869915</v>
      </c>
      <c r="R3" s="4">
        <v>80.3</v>
      </c>
      <c r="S3" s="5">
        <f t="shared" ref="S3:S6" si="3">+AVERAGE(G3,P3)</f>
        <v>79.057692307692292</v>
      </c>
    </row>
    <row r="4" spans="1:25" x14ac:dyDescent="0.2">
      <c r="A4">
        <v>0.25</v>
      </c>
      <c r="B4" s="4">
        <v>88.2</v>
      </c>
      <c r="C4" s="4">
        <v>72.461538461538453</v>
      </c>
      <c r="D4" s="4">
        <v>93.290434782608713</v>
      </c>
      <c r="E4" s="5">
        <f t="shared" si="0"/>
        <v>84.650657748049056</v>
      </c>
      <c r="F4" s="4">
        <v>93.290434782608713</v>
      </c>
      <c r="G4" s="4">
        <v>88.2</v>
      </c>
      <c r="H4" s="4">
        <v>92.1</v>
      </c>
      <c r="I4" s="4">
        <v>88.2</v>
      </c>
      <c r="J4" s="5">
        <f t="shared" si="1"/>
        <v>90.15</v>
      </c>
      <c r="K4" s="4">
        <v>72.090909090909093</v>
      </c>
      <c r="L4" s="4">
        <v>74.357142857142904</v>
      </c>
      <c r="M4" s="5">
        <f t="shared" si="2"/>
        <v>73.224025974026006</v>
      </c>
      <c r="N4" s="4">
        <v>97</v>
      </c>
      <c r="O4" s="4">
        <v>63.717948717948715</v>
      </c>
      <c r="P4" s="4">
        <v>102.461538461538</v>
      </c>
      <c r="Q4" s="4">
        <v>70.487804878048792</v>
      </c>
      <c r="R4" s="4">
        <v>102.1</v>
      </c>
      <c r="S4" s="5">
        <f t="shared" si="3"/>
        <v>95.330769230768993</v>
      </c>
    </row>
    <row r="5" spans="1:25" x14ac:dyDescent="0.2">
      <c r="A5">
        <v>0.5</v>
      </c>
      <c r="B5" s="4">
        <v>220.70000000000002</v>
      </c>
      <c r="C5" s="4">
        <v>173.23076923076923</v>
      </c>
      <c r="D5" s="4">
        <v>152.59197324414717</v>
      </c>
      <c r="E5" s="5">
        <f t="shared" si="0"/>
        <v>182.17424749163879</v>
      </c>
      <c r="F5" s="4">
        <v>152.59197324414717</v>
      </c>
      <c r="G5" s="4">
        <v>186.41666666666669</v>
      </c>
      <c r="H5" s="4">
        <v>202.4</v>
      </c>
      <c r="I5" s="4">
        <v>220.70000000000002</v>
      </c>
      <c r="J5" s="5">
        <f t="shared" si="1"/>
        <v>211.55</v>
      </c>
      <c r="K5" s="4">
        <v>258.63636363636363</v>
      </c>
      <c r="L5" s="4">
        <v>148.85714285714286</v>
      </c>
      <c r="M5" s="5">
        <f t="shared" si="2"/>
        <v>203.74675324675326</v>
      </c>
      <c r="N5" s="4">
        <v>198</v>
      </c>
      <c r="O5" s="4">
        <v>146.85897435897436</v>
      </c>
      <c r="P5" s="4">
        <v>193.230769230769</v>
      </c>
      <c r="Q5" s="4">
        <v>167.35772357723579</v>
      </c>
      <c r="R5" s="4">
        <v>202.4</v>
      </c>
      <c r="S5" s="5">
        <f t="shared" si="3"/>
        <v>189.82371794871784</v>
      </c>
    </row>
    <row r="6" spans="1:25" x14ac:dyDescent="0.2">
      <c r="A6">
        <v>1</v>
      </c>
      <c r="B6" s="4">
        <v>307.5</v>
      </c>
      <c r="C6" s="4">
        <v>237.69230769230768</v>
      </c>
      <c r="D6" s="4">
        <v>207.34113712374582</v>
      </c>
      <c r="E6" s="5">
        <f t="shared" si="0"/>
        <v>250.84448160535115</v>
      </c>
      <c r="F6" s="4">
        <v>207.34113712374582</v>
      </c>
      <c r="G6" s="4">
        <v>257.08333333333337</v>
      </c>
      <c r="H6" s="4">
        <v>280</v>
      </c>
      <c r="I6" s="4">
        <v>307.5</v>
      </c>
      <c r="J6" s="5">
        <f t="shared" si="1"/>
        <v>293.75</v>
      </c>
      <c r="K6" s="4">
        <v>282.63636363636357</v>
      </c>
      <c r="L6" s="4">
        <v>201.42857142857144</v>
      </c>
      <c r="M6" s="5">
        <f t="shared" si="2"/>
        <v>242.03246753246751</v>
      </c>
      <c r="N6" s="4">
        <v>310.39999999999998</v>
      </c>
      <c r="O6" s="4">
        <v>171.20879120879121</v>
      </c>
      <c r="P6" s="4">
        <v>204.45054945054946</v>
      </c>
      <c r="Q6" s="4">
        <v>228.57723577235774</v>
      </c>
      <c r="R6" s="4">
        <v>280</v>
      </c>
      <c r="S6" s="5">
        <f t="shared" si="3"/>
        <v>230.76694139194143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BB94-7717-F04D-B27A-C222F37E61F2}">
  <dimension ref="A1:Y6"/>
  <sheetViews>
    <sheetView workbookViewId="0"/>
  </sheetViews>
  <sheetFormatPr baseColWidth="10" defaultRowHeight="16" x14ac:dyDescent="0.2"/>
  <cols>
    <col min="5" max="5" width="11" bestFit="1" customWidth="1"/>
    <col min="10" max="10" width="11" bestFit="1" customWidth="1"/>
    <col min="13" max="13" width="11" bestFit="1" customWidth="1"/>
  </cols>
  <sheetData>
    <row r="1" spans="1:25" x14ac:dyDescent="0.2">
      <c r="A1" t="s">
        <v>18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6" t="s">
        <v>15</v>
      </c>
      <c r="K1" s="1" t="s">
        <v>7</v>
      </c>
      <c r="L1" s="1" t="s">
        <v>8</v>
      </c>
      <c r="M1" s="1" t="s">
        <v>16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17</v>
      </c>
      <c r="T1" s="1"/>
      <c r="U1" s="1"/>
      <c r="V1" s="1"/>
      <c r="W1" s="1"/>
      <c r="X1" s="1"/>
      <c r="Y1" s="1"/>
    </row>
    <row r="2" spans="1:25" x14ac:dyDescent="0.2">
      <c r="A2">
        <v>0.05</v>
      </c>
      <c r="B2" s="2">
        <v>29.9</v>
      </c>
      <c r="C2" s="2">
        <v>27.615384615384613</v>
      </c>
      <c r="D2" s="2">
        <v>26.62207357859532</v>
      </c>
      <c r="E2" s="5">
        <f>+AVERAGE(B2:D2)</f>
        <v>28.045819397993313</v>
      </c>
      <c r="F2" s="2">
        <v>26.62207357859532</v>
      </c>
      <c r="G2" s="3">
        <v>29.9</v>
      </c>
      <c r="H2" s="2">
        <v>58.34</v>
      </c>
      <c r="I2" s="2">
        <v>39.9</v>
      </c>
      <c r="J2" s="5">
        <f>+AVERAGE(H2:I2)</f>
        <v>49.120000000000005</v>
      </c>
      <c r="K2" s="2">
        <v>29.990000000000002</v>
      </c>
      <c r="L2" s="2">
        <v>33.1</v>
      </c>
      <c r="M2" s="5">
        <f>+AVERAGE(K2:L2)</f>
        <v>31.545000000000002</v>
      </c>
      <c r="N2" s="2">
        <v>50.988999999999997</v>
      </c>
      <c r="O2" s="2">
        <v>28.25</v>
      </c>
      <c r="P2" s="2">
        <v>56.599999999999994</v>
      </c>
      <c r="Q2" s="2">
        <v>27.455284552845526</v>
      </c>
      <c r="R2" s="2">
        <v>29.17</v>
      </c>
      <c r="S2" s="5">
        <f>+AVERAGE(G2,P2)</f>
        <v>43.25</v>
      </c>
    </row>
    <row r="3" spans="1:25" x14ac:dyDescent="0.2">
      <c r="A3">
        <v>0.1</v>
      </c>
      <c r="B3" s="2">
        <v>44.8</v>
      </c>
      <c r="C3" s="2">
        <v>60.230769230769198</v>
      </c>
      <c r="D3" s="2">
        <v>62.244147157190604</v>
      </c>
      <c r="E3" s="5">
        <f t="shared" ref="E3:E6" si="0">+AVERAGE(B3:D3)</f>
        <v>55.758305462653261</v>
      </c>
      <c r="F3" s="2">
        <v>38.244147157190639</v>
      </c>
      <c r="G3" s="3">
        <v>44.8</v>
      </c>
      <c r="H3" s="2">
        <v>97.1</v>
      </c>
      <c r="I3" s="2">
        <v>74.8</v>
      </c>
      <c r="J3" s="5">
        <f t="shared" ref="J3:J6" si="1">+AVERAGE(H3:I3)</f>
        <v>85.949999999999989</v>
      </c>
      <c r="K3" s="2">
        <v>71.317272727272723</v>
      </c>
      <c r="L3" s="2">
        <v>55.071428571428569</v>
      </c>
      <c r="M3" s="5">
        <f t="shared" ref="M3:M6" si="2">+AVERAGE(K3:L3)</f>
        <v>63.194350649350646</v>
      </c>
      <c r="N3" s="2">
        <v>85.948999999999998</v>
      </c>
      <c r="O3" s="2">
        <v>41.5</v>
      </c>
      <c r="P3" s="2">
        <v>78.2</v>
      </c>
      <c r="Q3" s="2">
        <v>52.113821138211399</v>
      </c>
      <c r="R3" s="2">
        <v>56.05</v>
      </c>
      <c r="S3" s="5">
        <f t="shared" ref="S3:S6" si="3">+AVERAGE(G3,P3)</f>
        <v>61.5</v>
      </c>
    </row>
    <row r="4" spans="1:25" x14ac:dyDescent="0.2">
      <c r="A4">
        <v>0.25</v>
      </c>
      <c r="B4" s="2">
        <v>66.2</v>
      </c>
      <c r="C4" s="2">
        <v>105.53846153846</v>
      </c>
      <c r="D4" s="2">
        <v>80.903010033444801</v>
      </c>
      <c r="E4" s="5">
        <f t="shared" si="0"/>
        <v>84.213823857301591</v>
      </c>
      <c r="F4" s="2">
        <v>50.903010033444815</v>
      </c>
      <c r="G4" s="3">
        <v>66.2</v>
      </c>
      <c r="H4" s="2">
        <v>154.9</v>
      </c>
      <c r="I4" s="2">
        <v>86.2</v>
      </c>
      <c r="J4" s="5">
        <f t="shared" si="1"/>
        <v>120.55000000000001</v>
      </c>
      <c r="K4" s="2">
        <v>74.389999999999986</v>
      </c>
      <c r="L4" s="2">
        <v>116.35714285714286</v>
      </c>
      <c r="M4" s="5">
        <f t="shared" si="2"/>
        <v>95.373571428571424</v>
      </c>
      <c r="N4" s="2">
        <v>109.82899999999999</v>
      </c>
      <c r="O4" s="2">
        <v>58.500000000000007</v>
      </c>
      <c r="P4" s="2">
        <v>90.8</v>
      </c>
      <c r="Q4" s="2">
        <v>74.837398373983746</v>
      </c>
      <c r="R4" s="2">
        <v>97.45</v>
      </c>
      <c r="S4" s="5">
        <f t="shared" si="3"/>
        <v>78.5</v>
      </c>
    </row>
    <row r="5" spans="1:25" x14ac:dyDescent="0.2">
      <c r="A5">
        <v>0.5</v>
      </c>
      <c r="B5" s="2">
        <v>162.4</v>
      </c>
      <c r="C5" s="2">
        <v>128.38461538461539</v>
      </c>
      <c r="D5" s="2">
        <v>113.59531772575252</v>
      </c>
      <c r="E5" s="5">
        <f t="shared" si="0"/>
        <v>134.79331103678931</v>
      </c>
      <c r="F5" s="2">
        <v>113.59531772575252</v>
      </c>
      <c r="G5" s="3">
        <v>137.83333300000001</v>
      </c>
      <c r="H5" s="2">
        <v>286.10000000000002</v>
      </c>
      <c r="I5" s="2">
        <v>162.4</v>
      </c>
      <c r="J5" s="5">
        <f t="shared" si="1"/>
        <v>224.25</v>
      </c>
      <c r="K5" s="2">
        <v>163.74</v>
      </c>
      <c r="L5" s="2">
        <v>208.64285714285717</v>
      </c>
      <c r="M5" s="5">
        <f t="shared" si="2"/>
        <v>186.19142857142859</v>
      </c>
      <c r="N5" s="2">
        <v>227</v>
      </c>
      <c r="O5" s="2">
        <v>137.83333333333334</v>
      </c>
      <c r="P5" s="2">
        <v>113.26666666666668</v>
      </c>
      <c r="Q5" s="2">
        <v>125.20325203252034</v>
      </c>
      <c r="R5" s="2">
        <v>150.55000000000001</v>
      </c>
      <c r="S5" s="5">
        <f t="shared" si="3"/>
        <v>125.54999983333335</v>
      </c>
    </row>
    <row r="6" spans="1:25" x14ac:dyDescent="0.2">
      <c r="A6">
        <v>1</v>
      </c>
      <c r="B6" s="2">
        <v>303.10000000000002</v>
      </c>
      <c r="C6" s="2">
        <v>234.30769230769232</v>
      </c>
      <c r="D6" s="2">
        <v>204.39799331103683</v>
      </c>
      <c r="E6" s="5">
        <f t="shared" si="0"/>
        <v>247.26856187290969</v>
      </c>
      <c r="F6" s="2">
        <v>204.39799331103683</v>
      </c>
      <c r="G6" s="3">
        <v>253.41666699999999</v>
      </c>
      <c r="H6" s="2">
        <v>364.5</v>
      </c>
      <c r="I6" s="2">
        <v>303.10000000000002</v>
      </c>
      <c r="J6" s="5">
        <f t="shared" si="1"/>
        <v>333.8</v>
      </c>
      <c r="K6" s="2">
        <v>255.81</v>
      </c>
      <c r="L6" s="2">
        <v>266.07142857142861</v>
      </c>
      <c r="M6" s="5">
        <f t="shared" si="2"/>
        <v>260.94071428571431</v>
      </c>
      <c r="N6" s="2">
        <v>335.89100000000008</v>
      </c>
      <c r="O6" s="2">
        <v>217.92857142857144</v>
      </c>
      <c r="P6" s="2">
        <v>175.34285714285716</v>
      </c>
      <c r="Q6" s="2">
        <v>153.57723577235774</v>
      </c>
      <c r="R6" s="2">
        <v>187.75</v>
      </c>
      <c r="S6" s="5">
        <f t="shared" si="3"/>
        <v>214.37976207142856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E0B5-37D2-964B-9DCF-F007DDDF7C62}">
  <dimension ref="A1:Y6"/>
  <sheetViews>
    <sheetView tabSelected="1" workbookViewId="0">
      <selection activeCell="A2" sqref="A2"/>
    </sheetView>
  </sheetViews>
  <sheetFormatPr baseColWidth="10" defaultRowHeight="16" x14ac:dyDescent="0.2"/>
  <cols>
    <col min="2" max="8" width="11" bestFit="1" customWidth="1"/>
    <col min="9" max="9" width="11.6640625" bestFit="1" customWidth="1"/>
    <col min="10" max="10" width="11" bestFit="1" customWidth="1"/>
    <col min="11" max="11" width="11.6640625" bestFit="1" customWidth="1"/>
    <col min="12" max="13" width="11" bestFit="1" customWidth="1"/>
    <col min="14" max="15" width="11.6640625" bestFit="1" customWidth="1"/>
  </cols>
  <sheetData>
    <row r="1" spans="1:25" x14ac:dyDescent="0.2">
      <c r="A1" t="s">
        <v>18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6" t="s">
        <v>15</v>
      </c>
      <c r="K1" s="1" t="s">
        <v>7</v>
      </c>
      <c r="L1" s="1" t="s">
        <v>8</v>
      </c>
      <c r="M1" s="1" t="s">
        <v>16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17</v>
      </c>
      <c r="T1" s="1"/>
      <c r="U1" s="1"/>
      <c r="V1" s="1"/>
      <c r="W1" s="1"/>
      <c r="X1" s="1"/>
      <c r="Y1" s="1"/>
    </row>
    <row r="2" spans="1:25" x14ac:dyDescent="0.2">
      <c r="A2">
        <v>0.05</v>
      </c>
      <c r="B2" s="2">
        <v>18</v>
      </c>
      <c r="C2" s="2">
        <v>7.3076923076923066</v>
      </c>
      <c r="D2" s="2">
        <v>7.0066889632107028</v>
      </c>
      <c r="E2" s="5">
        <f>+AVERAGE(B2:D2)</f>
        <v>10.771460423634338</v>
      </c>
      <c r="F2" s="2">
        <v>7.0066889632107028</v>
      </c>
      <c r="G2" s="2">
        <v>8.9</v>
      </c>
      <c r="H2" s="2">
        <v>5</v>
      </c>
      <c r="I2" s="2">
        <v>5</v>
      </c>
      <c r="J2" s="5">
        <f>+AVERAGE(H2:I2)</f>
        <v>5</v>
      </c>
      <c r="K2" s="2">
        <v>21.636363636363637</v>
      </c>
      <c r="L2" s="2">
        <v>-5</v>
      </c>
      <c r="M2" s="5">
        <f>+AVERAGE(K2:L2)</f>
        <v>8.3181818181818183</v>
      </c>
      <c r="N2" s="2">
        <v>23.3</v>
      </c>
      <c r="O2" s="2">
        <v>0</v>
      </c>
      <c r="P2" s="2">
        <v>0</v>
      </c>
      <c r="Q2" s="2">
        <v>14.024390243902438</v>
      </c>
      <c r="R2" s="2">
        <v>16.100000000000001</v>
      </c>
      <c r="S2" s="5">
        <f>+AVERAGE(G2,P2)</f>
        <v>4.45</v>
      </c>
    </row>
    <row r="3" spans="1:25" x14ac:dyDescent="0.2">
      <c r="A3">
        <v>0.1</v>
      </c>
      <c r="B3" s="2">
        <v>34</v>
      </c>
      <c r="C3" s="2">
        <v>13.1538461538461</v>
      </c>
      <c r="D3" s="2">
        <v>18.6120401337792</v>
      </c>
      <c r="E3" s="5">
        <f t="shared" ref="E3:E6" si="0">+AVERAGE(B3:D3)</f>
        <v>21.921962095875102</v>
      </c>
      <c r="F3" s="2">
        <v>18.6120401337792</v>
      </c>
      <c r="G3" s="2">
        <v>12.02</v>
      </c>
      <c r="H3" s="2">
        <v>5</v>
      </c>
      <c r="I3" s="2">
        <v>10.4</v>
      </c>
      <c r="J3" s="5">
        <f t="shared" ref="J3:J6" si="1">+AVERAGE(H3:I3)</f>
        <v>7.7</v>
      </c>
      <c r="K3" s="2">
        <v>29.999999999999996</v>
      </c>
      <c r="L3" s="2">
        <v>0</v>
      </c>
      <c r="M3" s="5">
        <f t="shared" ref="M3:M6" si="2">+AVERAGE(K3:L3)</f>
        <v>14.999999999999998</v>
      </c>
      <c r="N3" s="2">
        <v>32.5</v>
      </c>
      <c r="O3" s="2">
        <v>9.5</v>
      </c>
      <c r="P3" s="2">
        <v>10.535</v>
      </c>
      <c r="Q3" s="2">
        <v>26.981029810298104</v>
      </c>
      <c r="R3" s="2">
        <v>27.966666666666669</v>
      </c>
      <c r="S3" s="5">
        <f t="shared" ref="S3:S6" si="3">+AVERAGE(G3,P3)</f>
        <v>11.2775</v>
      </c>
    </row>
    <row r="4" spans="1:25" x14ac:dyDescent="0.2">
      <c r="A4">
        <v>0.25</v>
      </c>
      <c r="B4" s="2">
        <v>45</v>
      </c>
      <c r="C4" s="2">
        <v>18.076923076923102</v>
      </c>
      <c r="D4" s="2">
        <v>22.023411371237501</v>
      </c>
      <c r="E4" s="5">
        <f t="shared" si="0"/>
        <v>28.366778149386864</v>
      </c>
      <c r="F4" s="2">
        <v>22.023411371237501</v>
      </c>
      <c r="G4" s="2">
        <v>18.649999999999999</v>
      </c>
      <c r="H4" s="2">
        <v>12.2</v>
      </c>
      <c r="I4" s="2">
        <v>15.5</v>
      </c>
      <c r="J4" s="5">
        <f t="shared" si="1"/>
        <v>13.85</v>
      </c>
      <c r="K4" s="2">
        <v>84</v>
      </c>
      <c r="L4" s="2">
        <v>10.142857142857142</v>
      </c>
      <c r="M4" s="5">
        <f t="shared" si="2"/>
        <v>47.071428571428569</v>
      </c>
      <c r="N4" s="2">
        <v>91.9</v>
      </c>
      <c r="O4" s="2">
        <v>13.75</v>
      </c>
      <c r="P4" s="2">
        <v>15.762499999999999</v>
      </c>
      <c r="Q4" s="2">
        <v>37.411924119241192</v>
      </c>
      <c r="R4" s="2">
        <v>44.866666666666667</v>
      </c>
      <c r="S4" s="5">
        <f t="shared" si="3"/>
        <v>17.206249999999997</v>
      </c>
    </row>
    <row r="5" spans="1:25" x14ac:dyDescent="0.2">
      <c r="A5">
        <v>0.5</v>
      </c>
      <c r="B5" s="2">
        <v>71</v>
      </c>
      <c r="C5" s="2">
        <v>40.769230769230766</v>
      </c>
      <c r="D5" s="2">
        <v>36.103678929765891</v>
      </c>
      <c r="E5" s="5">
        <f t="shared" si="0"/>
        <v>49.290969899665555</v>
      </c>
      <c r="F5" s="2">
        <v>36.103678929765891</v>
      </c>
      <c r="G5" s="2">
        <v>55.375</v>
      </c>
      <c r="H5" s="2">
        <v>36.700000000000003</v>
      </c>
      <c r="I5" s="2">
        <v>51.5</v>
      </c>
      <c r="J5" s="5">
        <f t="shared" si="1"/>
        <v>44.1</v>
      </c>
      <c r="K5" s="2">
        <v>110.36363636363636</v>
      </c>
      <c r="L5" s="2">
        <v>27.642857142857142</v>
      </c>
      <c r="M5" s="5">
        <f t="shared" si="2"/>
        <v>69.003246753246756</v>
      </c>
      <c r="N5" s="2">
        <v>120.9</v>
      </c>
      <c r="O5" s="2">
        <v>43.75</v>
      </c>
      <c r="P5" s="2">
        <v>52.662500000000001</v>
      </c>
      <c r="Q5" s="2">
        <v>61.666666666666671</v>
      </c>
      <c r="R5" s="2">
        <v>74.7</v>
      </c>
      <c r="S5" s="5">
        <f t="shared" si="3"/>
        <v>54.018749999999997</v>
      </c>
    </row>
    <row r="6" spans="1:25" x14ac:dyDescent="0.2">
      <c r="A6">
        <v>1</v>
      </c>
      <c r="B6" s="2">
        <v>94</v>
      </c>
      <c r="C6" s="2">
        <v>70.384615384615387</v>
      </c>
      <c r="D6" s="2">
        <v>61.204013377926429</v>
      </c>
      <c r="E6" s="5">
        <f t="shared" si="0"/>
        <v>75.196209587513934</v>
      </c>
      <c r="F6" s="2">
        <v>61.204013377926429</v>
      </c>
      <c r="G6" s="2">
        <v>99.125</v>
      </c>
      <c r="H6" s="2">
        <v>61.3</v>
      </c>
      <c r="I6" s="2">
        <v>91.5</v>
      </c>
      <c r="J6" s="5">
        <f t="shared" si="1"/>
        <v>76.400000000000006</v>
      </c>
      <c r="K6" s="2">
        <v>197.81818181818178</v>
      </c>
      <c r="L6" s="2">
        <v>43.785714285714285</v>
      </c>
      <c r="M6" s="5">
        <f t="shared" si="2"/>
        <v>120.80194805194803</v>
      </c>
      <c r="N6" s="2">
        <v>217.6</v>
      </c>
      <c r="O6" s="2">
        <v>65.357142857142861</v>
      </c>
      <c r="P6" s="2">
        <v>80.38928571428572</v>
      </c>
      <c r="Q6" s="2">
        <v>100.37940379403793</v>
      </c>
      <c r="R6" s="2">
        <v>123.46666666666665</v>
      </c>
      <c r="S6" s="5">
        <f t="shared" si="3"/>
        <v>89.757142857142867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Building</vt:lpstr>
      <vt:lpstr>Machinery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Marcello Arosio</cp:lastModifiedBy>
  <dcterms:created xsi:type="dcterms:W3CDTF">2021-03-30T14:03:16Z</dcterms:created>
  <dcterms:modified xsi:type="dcterms:W3CDTF">2023-10-17T09:00:28Z</dcterms:modified>
</cp:coreProperties>
</file>