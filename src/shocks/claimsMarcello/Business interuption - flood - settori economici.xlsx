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c08fddb58bae64/Desktop/IUSS/PROGETTI/IO FLOOD/DATA/MARIO DATA/"/>
    </mc:Choice>
  </mc:AlternateContent>
  <xr:revisionPtr revIDLastSave="130" documentId="13_ncr:1_{B0290D78-F505-914F-9A3C-8FD1B8392C51}" xr6:coauthVersionLast="47" xr6:coauthVersionMax="47" xr10:uidLastSave="{0DF45C7A-5494-4CCE-978C-882806972F75}"/>
  <bookViews>
    <workbookView minimized="1" xWindow="1720" yWindow="960" windowWidth="14400" windowHeight="7280" firstSheet="1" activeTab="4" xr2:uid="{AA9D9D85-9431-3B41-935E-EEBF4EE55123}"/>
  </bookViews>
  <sheets>
    <sheet name="Riunione" sheetId="16" r:id="rId1"/>
    <sheet name="IND_HV" sheetId="1" r:id="rId2"/>
    <sheet name="IND_LG" sheetId="2" r:id="rId3"/>
    <sheet name="IND_HT" sheetId="3" r:id="rId4"/>
    <sheet name="COM_PD" sheetId="5" r:id="rId5"/>
    <sheet name="COM_GD" sheetId="6" r:id="rId6"/>
    <sheet name="COM_IN" sheetId="7" r:id="rId7"/>
    <sheet name="COM_OF" sheetId="8" r:id="rId8"/>
    <sheet name="COM_RS" sheetId="9" r:id="rId9"/>
    <sheet name="IND_MG" sheetId="10" r:id="rId10"/>
    <sheet name="ATT_IM" sheetId="4" r:id="rId11"/>
    <sheet name="IND_TR" sheetId="11" r:id="rId12"/>
    <sheet name="IND_CS" sheetId="12" r:id="rId13"/>
    <sheet name="RES_HT" sheetId="13" r:id="rId14"/>
    <sheet name="AGR_00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3" l="1"/>
  <c r="E7" i="15"/>
  <c r="D7" i="15"/>
  <c r="E7" i="4"/>
  <c r="D7" i="4"/>
  <c r="E28" i="15" l="1"/>
  <c r="D28" i="15"/>
  <c r="C28" i="15"/>
  <c r="B28" i="15"/>
  <c r="E27" i="15"/>
  <c r="D27" i="15"/>
  <c r="C27" i="15"/>
  <c r="B27" i="15"/>
  <c r="E26" i="15"/>
  <c r="C26" i="15"/>
  <c r="B26" i="15"/>
  <c r="E25" i="15"/>
  <c r="C25" i="15"/>
  <c r="B25" i="15"/>
  <c r="C24" i="15"/>
  <c r="B24" i="15"/>
  <c r="E28" i="13"/>
  <c r="D28" i="13"/>
  <c r="C28" i="13"/>
  <c r="B28" i="13"/>
  <c r="F28" i="13" s="1"/>
  <c r="E27" i="13"/>
  <c r="D27" i="13"/>
  <c r="C27" i="13"/>
  <c r="B27" i="13"/>
  <c r="E26" i="13"/>
  <c r="D26" i="13"/>
  <c r="C26" i="13"/>
  <c r="B26" i="13"/>
  <c r="F26" i="13" s="1"/>
  <c r="E25" i="13"/>
  <c r="D25" i="13"/>
  <c r="C25" i="13"/>
  <c r="B25" i="13"/>
  <c r="E24" i="13"/>
  <c r="D24" i="13"/>
  <c r="C24" i="13"/>
  <c r="B24" i="13"/>
  <c r="E28" i="12"/>
  <c r="D28" i="12"/>
  <c r="C28" i="12"/>
  <c r="B28" i="12"/>
  <c r="E27" i="12"/>
  <c r="D27" i="12"/>
  <c r="C27" i="12"/>
  <c r="B27" i="12"/>
  <c r="E26" i="12"/>
  <c r="D26" i="12"/>
  <c r="C26" i="12"/>
  <c r="B26" i="12"/>
  <c r="F26" i="12" s="1"/>
  <c r="E25" i="12"/>
  <c r="D25" i="12"/>
  <c r="C25" i="12"/>
  <c r="B25" i="12"/>
  <c r="E24" i="12"/>
  <c r="D24" i="12"/>
  <c r="C24" i="12"/>
  <c r="B24" i="12"/>
  <c r="E28" i="11"/>
  <c r="D28" i="11"/>
  <c r="C28" i="11"/>
  <c r="B28" i="11"/>
  <c r="F28" i="11" s="1"/>
  <c r="E27" i="11"/>
  <c r="D27" i="11"/>
  <c r="C27" i="11"/>
  <c r="B27" i="11"/>
  <c r="E26" i="11"/>
  <c r="D26" i="11"/>
  <c r="C26" i="11"/>
  <c r="B26" i="11"/>
  <c r="F26" i="11" s="1"/>
  <c r="E25" i="11"/>
  <c r="D25" i="11"/>
  <c r="C25" i="11"/>
  <c r="B25" i="11"/>
  <c r="E24" i="11"/>
  <c r="D24" i="11"/>
  <c r="C24" i="11"/>
  <c r="B24" i="11"/>
  <c r="E28" i="4"/>
  <c r="D28" i="4"/>
  <c r="C28" i="4"/>
  <c r="B28" i="4"/>
  <c r="F28" i="4" s="1"/>
  <c r="E27" i="4"/>
  <c r="D27" i="4"/>
  <c r="F27" i="4" s="1"/>
  <c r="C27" i="4"/>
  <c r="B27" i="4"/>
  <c r="E26" i="4"/>
  <c r="C26" i="4"/>
  <c r="B26" i="4"/>
  <c r="E25" i="4"/>
  <c r="C25" i="4"/>
  <c r="B25" i="4"/>
  <c r="C24" i="4"/>
  <c r="B24" i="4"/>
  <c r="E28" i="10"/>
  <c r="D28" i="10"/>
  <c r="C28" i="10"/>
  <c r="B28" i="10"/>
  <c r="E27" i="10"/>
  <c r="D27" i="10"/>
  <c r="C27" i="10"/>
  <c r="B27" i="10"/>
  <c r="E26" i="10"/>
  <c r="D26" i="10"/>
  <c r="C26" i="10"/>
  <c r="B26" i="10"/>
  <c r="F26" i="10" s="1"/>
  <c r="F25" i="10"/>
  <c r="E25" i="10"/>
  <c r="D25" i="10"/>
  <c r="C25" i="10"/>
  <c r="B25" i="10"/>
  <c r="E24" i="10"/>
  <c r="D24" i="10"/>
  <c r="C24" i="10"/>
  <c r="B24" i="10"/>
  <c r="E28" i="9"/>
  <c r="D28" i="9"/>
  <c r="C28" i="9"/>
  <c r="B28" i="9"/>
  <c r="F28" i="9" s="1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8" i="8"/>
  <c r="D28" i="8"/>
  <c r="C28" i="8"/>
  <c r="B28" i="8"/>
  <c r="F28" i="8" s="1"/>
  <c r="E27" i="8"/>
  <c r="D27" i="8"/>
  <c r="F27" i="8" s="1"/>
  <c r="C27" i="8"/>
  <c r="B27" i="8"/>
  <c r="E26" i="8"/>
  <c r="D26" i="8"/>
  <c r="C26" i="8"/>
  <c r="B26" i="8"/>
  <c r="F26" i="8" s="1"/>
  <c r="F25" i="8"/>
  <c r="E25" i="8"/>
  <c r="D25" i="8"/>
  <c r="C25" i="8"/>
  <c r="B25" i="8"/>
  <c r="E24" i="8"/>
  <c r="D24" i="8"/>
  <c r="C24" i="8"/>
  <c r="F24" i="8" s="1"/>
  <c r="B24" i="8"/>
  <c r="B24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E28" i="6"/>
  <c r="D28" i="6"/>
  <c r="C28" i="6"/>
  <c r="B28" i="6"/>
  <c r="F28" i="6" s="1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8" i="2"/>
  <c r="D28" i="2"/>
  <c r="C28" i="2"/>
  <c r="B28" i="2"/>
  <c r="F28" i="2" s="1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8" i="1"/>
  <c r="D28" i="1"/>
  <c r="C28" i="1"/>
  <c r="B28" i="1"/>
  <c r="E27" i="1"/>
  <c r="D27" i="1"/>
  <c r="C27" i="1"/>
  <c r="B27" i="1"/>
  <c r="E26" i="1"/>
  <c r="D26" i="1"/>
  <c r="C26" i="1"/>
  <c r="B26" i="1"/>
  <c r="F26" i="1" s="1"/>
  <c r="E25" i="1"/>
  <c r="D25" i="1"/>
  <c r="C25" i="1"/>
  <c r="B25" i="1"/>
  <c r="E24" i="1"/>
  <c r="D24" i="1"/>
  <c r="C24" i="1"/>
  <c r="B24" i="1"/>
  <c r="D26" i="15"/>
  <c r="D25" i="15"/>
  <c r="E19" i="4"/>
  <c r="D19" i="4"/>
  <c r="E18" i="4"/>
  <c r="D18" i="4"/>
  <c r="E17" i="4"/>
  <c r="D17" i="4"/>
  <c r="D26" i="4" s="1"/>
  <c r="E16" i="4"/>
  <c r="D16" i="4"/>
  <c r="D25" i="4" s="1"/>
  <c r="E15" i="4"/>
  <c r="D15" i="4"/>
  <c r="E8" i="4"/>
  <c r="D8" i="4"/>
  <c r="E8" i="15"/>
  <c r="D8" i="15"/>
  <c r="E11" i="15"/>
  <c r="D11" i="15"/>
  <c r="E10" i="15"/>
  <c r="D10" i="15"/>
  <c r="E9" i="15"/>
  <c r="D9" i="15"/>
  <c r="E24" i="15"/>
  <c r="D24" i="15"/>
  <c r="E11" i="4"/>
  <c r="D11" i="4"/>
  <c r="E10" i="4"/>
  <c r="D10" i="4"/>
  <c r="E9" i="4"/>
  <c r="D9" i="4"/>
  <c r="E24" i="4"/>
  <c r="D24" i="4"/>
  <c r="F28" i="1" l="1"/>
  <c r="F25" i="1"/>
  <c r="F24" i="13"/>
  <c r="F24" i="11"/>
  <c r="F28" i="10"/>
  <c r="F26" i="7"/>
  <c r="F28" i="7"/>
  <c r="F28" i="5"/>
  <c r="F26" i="5"/>
  <c r="F25" i="15"/>
  <c r="F28" i="15"/>
  <c r="F27" i="15"/>
  <c r="F25" i="13"/>
  <c r="F27" i="13"/>
  <c r="F28" i="12"/>
  <c r="F25" i="12"/>
  <c r="F27" i="12"/>
  <c r="F24" i="12"/>
  <c r="F25" i="11"/>
  <c r="F27" i="11"/>
  <c r="F25" i="4"/>
  <c r="F24" i="4"/>
  <c r="F27" i="10"/>
  <c r="F24" i="10"/>
  <c r="F26" i="9"/>
  <c r="F25" i="9"/>
  <c r="F27" i="9"/>
  <c r="F24" i="9"/>
  <c r="F24" i="7"/>
  <c r="F26" i="6"/>
  <c r="F25" i="7"/>
  <c r="F27" i="7"/>
  <c r="F27" i="6"/>
  <c r="F25" i="6"/>
  <c r="F24" i="6"/>
  <c r="F25" i="5"/>
  <c r="F24" i="5"/>
  <c r="F27" i="5"/>
  <c r="F26" i="15"/>
  <c r="F26" i="4"/>
  <c r="F26" i="2"/>
  <c r="F25" i="2"/>
  <c r="F27" i="2"/>
  <c r="F24" i="2"/>
  <c r="F24" i="1"/>
  <c r="F27" i="1"/>
  <c r="F24" i="15"/>
  <c r="S9" i="3" l="1"/>
  <c r="S11" i="3" s="1"/>
  <c r="S10" i="3"/>
  <c r="S8" i="3"/>
  <c r="B25" i="3"/>
  <c r="D25" i="3"/>
  <c r="E25" i="3"/>
  <c r="B26" i="3"/>
  <c r="C26" i="3"/>
  <c r="D26" i="3"/>
  <c r="E26" i="3"/>
  <c r="B27" i="3"/>
  <c r="F27" i="3" s="1"/>
  <c r="C27" i="3"/>
  <c r="D27" i="3"/>
  <c r="E27" i="3"/>
  <c r="B28" i="3"/>
  <c r="F28" i="3" s="1"/>
  <c r="C28" i="3"/>
  <c r="D28" i="3"/>
  <c r="E28" i="3"/>
  <c r="C24" i="3"/>
  <c r="D24" i="3"/>
  <c r="E24" i="3"/>
  <c r="B24" i="3"/>
  <c r="F26" i="3" l="1"/>
  <c r="F25" i="3"/>
  <c r="F24" i="3"/>
</calcChain>
</file>

<file path=xl/sharedStrings.xml><?xml version="1.0" encoding="utf-8"?>
<sst xmlns="http://schemas.openxmlformats.org/spreadsheetml/2006/main" count="234" uniqueCount="45">
  <si>
    <t>"Industria pesante"</t>
  </si>
  <si>
    <t>Descrizione Categoria</t>
  </si>
  <si>
    <t>Buildings</t>
  </si>
  <si>
    <t>Machinery</t>
  </si>
  <si>
    <t>Inventory</t>
  </si>
  <si>
    <t>Other</t>
  </si>
  <si>
    <t>Loss Ratio (&lt;of)</t>
  </si>
  <si>
    <t>Downtime days</t>
  </si>
  <si>
    <t>Reduction of GP</t>
  </si>
  <si>
    <t>"Industria leggera"</t>
  </si>
  <si>
    <t>"Industria alta tecnologia"</t>
  </si>
  <si>
    <t>"Attività immobiliari"</t>
  </si>
  <si>
    <t>ERA_ID</t>
  </si>
  <si>
    <t>IND_HV</t>
  </si>
  <si>
    <t>IND_LG</t>
  </si>
  <si>
    <t>IND_HT</t>
  </si>
  <si>
    <t>COM_PD</t>
  </si>
  <si>
    <t>"Dettaglio-PiccolaDistr"</t>
  </si>
  <si>
    <t>COM_GD</t>
  </si>
  <si>
    <t>"Dettaglio-GrandeDistr"</t>
  </si>
  <si>
    <t>COM_IN</t>
  </si>
  <si>
    <t>"Ingrosso"</t>
  </si>
  <si>
    <t>COM_OF</t>
  </si>
  <si>
    <t>"Uffici"</t>
  </si>
  <si>
    <t>Att-Imm</t>
  </si>
  <si>
    <t>COM_RS</t>
  </si>
  <si>
    <t>"Ristorazione"</t>
  </si>
  <si>
    <t>IND_MG</t>
  </si>
  <si>
    <t>"Magazzinaggio"</t>
  </si>
  <si>
    <t>"Trasporto"</t>
  </si>
  <si>
    <t>IND_TR</t>
  </si>
  <si>
    <t>IND_CS</t>
  </si>
  <si>
    <t>"Costruzioni"</t>
  </si>
  <si>
    <t>"Hotels"</t>
  </si>
  <si>
    <t>RES_HT</t>
  </si>
  <si>
    <t>"Aziende Agricole"</t>
  </si>
  <si>
    <t>AGR_00</t>
  </si>
  <si>
    <t>Building</t>
  </si>
  <si>
    <t>DT</t>
  </si>
  <si>
    <t>RGP</t>
  </si>
  <si>
    <t>LP</t>
  </si>
  <si>
    <t>Appunti riunione 04/10/2023</t>
  </si>
  <si>
    <t>Scenario HAZUS (come upper bound)</t>
  </si>
  <si>
    <t>Scenario dati privati: dati provenienti da studio su sinistri assicurativi</t>
  </si>
  <si>
    <t>Downtime: giorni che servono per riparare ad es un macchinario. Siccome la produzione comunque può andare avanti (es. il danno è stato del 5% (=loss ratio 0,05) dei macchinari, il restante si può utilizzare), bisogna moltiplicare i giorni di downtime per la reduction of gross profit (rev-var.costs)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</si>
</sst>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Downtime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IND_HT!$B$6</c:f>
              <c:strCache>
                <c:ptCount val="1"/>
                <c:pt idx="0">
                  <c:v>Buildings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IND_HT!$A$7:$A$11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IND_HT!$B$7:$B$11</c:f>
              <c:numCache>
                <c:formatCode>General</c:formatCode>
                <c:ptCount val="5"/>
                <c:pt idx="0">
                  <c:v>33.200000000000003</c:v>
                </c:pt>
                <c:pt idx="1">
                  <c:v>68</c:v>
                </c:pt>
                <c:pt idx="2">
                  <c:v>97</c:v>
                </c:pt>
                <c:pt idx="3">
                  <c:v>198</c:v>
                </c:pt>
                <c:pt idx="4">
                  <c:v>310.39999999999998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97-504A-A28D-F21EE320B76C}"/>
            </c:ext>
          </c:extLst>
        </c:ser>
        <c:ser>
          <c:idx val="1"/>
          <c:order val="1"/>
          <c:tx>
            <c:strRef>
              <c:f>IND_HT!$C$6</c:f>
              <c:strCache>
                <c:ptCount val="1"/>
                <c:pt idx="0">
                  <c:v>Machinery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IND_HT!$A$7:$A$11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IND_HT!$C$7:$C$11</c:f>
              <c:numCache>
                <c:formatCode>General</c:formatCode>
                <c:ptCount val="5"/>
                <c:pt idx="0">
                  <c:v>50.988999999999997</c:v>
                </c:pt>
                <c:pt idx="1">
                  <c:v>85.948999999999998</c:v>
                </c:pt>
                <c:pt idx="2">
                  <c:v>109.82899999999999</c:v>
                </c:pt>
                <c:pt idx="3">
                  <c:v>227</c:v>
                </c:pt>
                <c:pt idx="4">
                  <c:v>335.89100000000008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97-504A-A28D-F21EE320B76C}"/>
            </c:ext>
          </c:extLst>
        </c:ser>
        <c:ser>
          <c:idx val="2"/>
          <c:order val="2"/>
          <c:tx>
            <c:strRef>
              <c:f>IND_HT!$D$6</c:f>
              <c:strCache>
                <c:ptCount val="1"/>
                <c:pt idx="0">
                  <c:v>Inventory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IND_HT!$A$7:$A$11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IND_HT!$D$7:$D$11</c:f>
              <c:numCache>
                <c:formatCode>General</c:formatCode>
                <c:ptCount val="5"/>
                <c:pt idx="0">
                  <c:v>23.3</c:v>
                </c:pt>
                <c:pt idx="1">
                  <c:v>32.5</c:v>
                </c:pt>
                <c:pt idx="2">
                  <c:v>91.9</c:v>
                </c:pt>
                <c:pt idx="3">
                  <c:v>120.9</c:v>
                </c:pt>
                <c:pt idx="4">
                  <c:v>217.6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97-504A-A28D-F21EE320B76C}"/>
            </c:ext>
          </c:extLst>
        </c:ser>
        <c:ser>
          <c:idx val="3"/>
          <c:order val="3"/>
          <c:tx>
            <c:strRef>
              <c:f>IND_HT!$E$6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IND_HT!$A$7:$A$11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IND_HT!$E$7:$E$11</c:f>
              <c:numCache>
                <c:formatCode>General</c:formatCode>
                <c:ptCount val="5"/>
                <c:pt idx="0">
                  <c:v>8</c:v>
                </c:pt>
                <c:pt idx="1">
                  <c:v>19.5</c:v>
                </c:pt>
                <c:pt idx="2">
                  <c:v>28.8</c:v>
                </c:pt>
                <c:pt idx="3">
                  <c:v>42.4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97-504A-A28D-F21EE320B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535423"/>
        <c:axId val="1056072495"/>
      </c:scatterChart>
      <c:valAx>
        <c:axId val="108053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6072495"/>
        <c:crosses val="autoZero"/>
        <c:crossBetween val="midCat"/>
      </c:valAx>
      <c:valAx>
        <c:axId val="105607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0535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GP Reduction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IND_HT!$B$6</c:f>
              <c:strCache>
                <c:ptCount val="1"/>
                <c:pt idx="0">
                  <c:v>Buildings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IND_HT!$A$15:$A$19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IND_HT!$B$15:$B$19</c:f>
              <c:numCache>
                <c:formatCode>General</c:formatCode>
                <c:ptCount val="5"/>
                <c:pt idx="0">
                  <c:v>0.17546</c:v>
                </c:pt>
                <c:pt idx="1">
                  <c:v>0.22500000000000001</c:v>
                </c:pt>
                <c:pt idx="2">
                  <c:v>0.2472</c:v>
                </c:pt>
                <c:pt idx="3">
                  <c:v>0.29730000000000001</c:v>
                </c:pt>
                <c:pt idx="4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84-984F-A9EE-F46CCC701A79}"/>
            </c:ext>
          </c:extLst>
        </c:ser>
        <c:ser>
          <c:idx val="1"/>
          <c:order val="1"/>
          <c:tx>
            <c:strRef>
              <c:f>IND_HT!$C$6</c:f>
              <c:strCache>
                <c:ptCount val="1"/>
                <c:pt idx="0">
                  <c:v>Machinery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IND_HT!$A$15:$A$19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IND_HT!$C$15:$C$19</c:f>
              <c:numCache>
                <c:formatCode>General</c:formatCode>
                <c:ptCount val="5"/>
                <c:pt idx="0">
                  <c:v>0.29508000000000001</c:v>
                </c:pt>
                <c:pt idx="1">
                  <c:v>0.34132000000000001</c:v>
                </c:pt>
                <c:pt idx="2">
                  <c:v>0.67612000000000005</c:v>
                </c:pt>
                <c:pt idx="3">
                  <c:v>0.92396000000000011</c:v>
                </c:pt>
                <c:pt idx="4">
                  <c:v>0.98092000000000001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4-984F-A9EE-F46CCC701A79}"/>
            </c:ext>
          </c:extLst>
        </c:ser>
        <c:ser>
          <c:idx val="2"/>
          <c:order val="2"/>
          <c:tx>
            <c:strRef>
              <c:f>IND_HT!$D$6</c:f>
              <c:strCache>
                <c:ptCount val="1"/>
                <c:pt idx="0">
                  <c:v>Inventory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IND_HT!$A$15:$A$19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IND_HT!$D$15:$D$19</c:f>
              <c:numCache>
                <c:formatCode>General</c:formatCode>
                <c:ptCount val="5"/>
                <c:pt idx="0">
                  <c:v>0.1</c:v>
                </c:pt>
                <c:pt idx="1">
                  <c:v>0.19</c:v>
                </c:pt>
                <c:pt idx="2">
                  <c:v>0.26</c:v>
                </c:pt>
                <c:pt idx="3">
                  <c:v>0.34</c:v>
                </c:pt>
                <c:pt idx="4">
                  <c:v>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84-984F-A9EE-F46CCC701A79}"/>
            </c:ext>
          </c:extLst>
        </c:ser>
        <c:ser>
          <c:idx val="3"/>
          <c:order val="3"/>
          <c:tx>
            <c:strRef>
              <c:f>IND_HT!$E$6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IND_HT!$A$15:$A$19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IND_HT!$E$15:$E$19</c:f>
              <c:numCache>
                <c:formatCode>General</c:formatCode>
                <c:ptCount val="5"/>
                <c:pt idx="0">
                  <c:v>0.05</c:v>
                </c:pt>
                <c:pt idx="1">
                  <c:v>0.13999999999999999</c:v>
                </c:pt>
                <c:pt idx="2">
                  <c:v>0.25</c:v>
                </c:pt>
                <c:pt idx="3">
                  <c:v>0.29000000000000004</c:v>
                </c:pt>
                <c:pt idx="4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84-984F-A9EE-F46CCC701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535423"/>
        <c:axId val="1056072495"/>
      </c:scatterChart>
      <c:valAx>
        <c:axId val="108053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6072495"/>
        <c:crosses val="autoZero"/>
        <c:crossBetween val="midCat"/>
      </c:valAx>
      <c:valAx>
        <c:axId val="105607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0535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GP Annual Reduction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IND_HT!$B$6</c:f>
              <c:strCache>
                <c:ptCount val="1"/>
                <c:pt idx="0">
                  <c:v>Buildings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IND_HT!$A$24:$A$28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IND_HT!$B$24:$B$28</c:f>
              <c:numCache>
                <c:formatCode>0.000</c:formatCode>
                <c:ptCount val="5"/>
                <c:pt idx="0">
                  <c:v>1.5959649315068495E-2</c:v>
                </c:pt>
                <c:pt idx="1">
                  <c:v>4.1917808219178086E-2</c:v>
                </c:pt>
                <c:pt idx="2">
                  <c:v>6.5694246575342466E-2</c:v>
                </c:pt>
                <c:pt idx="3">
                  <c:v>0.16127506849315068</c:v>
                </c:pt>
                <c:pt idx="4">
                  <c:v>0.29764383561643831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C-F640-AA22-778BA3AC499D}"/>
            </c:ext>
          </c:extLst>
        </c:ser>
        <c:ser>
          <c:idx val="1"/>
          <c:order val="1"/>
          <c:tx>
            <c:strRef>
              <c:f>IND_HT!$C$6</c:f>
              <c:strCache>
                <c:ptCount val="1"/>
                <c:pt idx="0">
                  <c:v>Machinery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IND_HT!$A$24:$A$28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IND_HT!$C$24:$C$28</c:f>
              <c:numCache>
                <c:formatCode>0.000</c:formatCode>
                <c:ptCount val="5"/>
                <c:pt idx="0">
                  <c:v>4.1221463342465757E-2</c:v>
                </c:pt>
                <c:pt idx="1">
                  <c:v>8.0372911452054788E-2</c:v>
                </c:pt>
                <c:pt idx="2">
                  <c:v>0.20344543419178085</c:v>
                </c:pt>
                <c:pt idx="3">
                  <c:v>0.57462717808219188</c:v>
                </c:pt>
                <c:pt idx="4">
                  <c:v>0.90269095813698652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3C-F640-AA22-778BA3AC499D}"/>
            </c:ext>
          </c:extLst>
        </c:ser>
        <c:ser>
          <c:idx val="2"/>
          <c:order val="2"/>
          <c:tx>
            <c:strRef>
              <c:f>IND_HT!$D$6</c:f>
              <c:strCache>
                <c:ptCount val="1"/>
                <c:pt idx="0">
                  <c:v>Inventory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IND_HT!$A$24:$A$28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IND_HT!$D$24:$D$28</c:f>
              <c:numCache>
                <c:formatCode>0.000</c:formatCode>
                <c:ptCount val="5"/>
                <c:pt idx="0">
                  <c:v>6.383561643835617E-3</c:v>
                </c:pt>
                <c:pt idx="1">
                  <c:v>1.6917808219178081E-2</c:v>
                </c:pt>
                <c:pt idx="2">
                  <c:v>6.546301369863014E-2</c:v>
                </c:pt>
                <c:pt idx="3">
                  <c:v>0.11261917808219178</c:v>
                </c:pt>
                <c:pt idx="4">
                  <c:v>0.2742356164383562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3C-F640-AA22-778BA3AC499D}"/>
            </c:ext>
          </c:extLst>
        </c:ser>
        <c:ser>
          <c:idx val="3"/>
          <c:order val="3"/>
          <c:tx>
            <c:strRef>
              <c:f>IND_HT!$E$6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IND_HT!$A$24:$A$28</c:f>
              <c:numCache>
                <c:formatCode>0.000</c:formatCode>
                <c:ptCount val="5"/>
                <c:pt idx="0">
                  <c:v>0.05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IND_HT!$E$24:$E$28</c:f>
              <c:numCache>
                <c:formatCode>0.000</c:formatCode>
                <c:ptCount val="5"/>
                <c:pt idx="0">
                  <c:v>1.0958904109589042E-3</c:v>
                </c:pt>
                <c:pt idx="1">
                  <c:v>7.4794520547945189E-3</c:v>
                </c:pt>
                <c:pt idx="2">
                  <c:v>1.9726027397260273E-2</c:v>
                </c:pt>
                <c:pt idx="3">
                  <c:v>3.3687671232876713E-2</c:v>
                </c:pt>
                <c:pt idx="4">
                  <c:v>4.2000000000000003E-2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3C-F640-AA22-778BA3AC4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535423"/>
        <c:axId val="1056072495"/>
      </c:scatterChart>
      <c:valAx>
        <c:axId val="108053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6072495"/>
        <c:crosses val="autoZero"/>
        <c:crossBetween val="midCat"/>
      </c:valAx>
      <c:valAx>
        <c:axId val="105607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0535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</xdr:colOff>
      <xdr:row>1</xdr:row>
      <xdr:rowOff>81280</xdr:rowOff>
    </xdr:from>
    <xdr:to>
      <xdr:col>11</xdr:col>
      <xdr:colOff>492760</xdr:colOff>
      <xdr:row>14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E2F4E2-728C-554A-9869-1ACCE7BC6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183063</xdr:colOff>
      <xdr:row>15</xdr:row>
      <xdr:rowOff>82561</xdr:rowOff>
    </xdr:from>
    <xdr:to>
      <xdr:col>11</xdr:col>
      <xdr:colOff>640263</xdr:colOff>
      <xdr:row>28</xdr:row>
      <xdr:rowOff>184161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B8430-A6E7-EC4F-A1E3-8085658BE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21708</xdr:colOff>
      <xdr:row>30</xdr:row>
      <xdr:rowOff>10854</xdr:rowOff>
    </xdr:from>
    <xdr:to>
      <xdr:col>11</xdr:col>
      <xdr:colOff>478908</xdr:colOff>
      <xdr:row>43</xdr:row>
      <xdr:rowOff>112453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9FC18-6002-3847-BFB0-AEAD4DC24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AE55-B0F5-4946-901C-47C87CA32F7D}">
  <dimension ref="A2:A8"/>
  <sheetViews>
    <sheetView workbookViewId="0">
      <selection activeCell="A8" sqref="A8"/>
    </sheetView>
  </sheetViews>
  <sheetFormatPr defaultRowHeight="15.5" x14ac:dyDescent="0.35"/>
  <sheetData>
    <row r="2" spans="1:1" x14ac:dyDescent="0.35">
      <c r="A2" t="s">
        <v>41</v>
      </c>
    </row>
    <row r="4" spans="1:1" x14ac:dyDescent="0.35">
      <c r="A4" t="s">
        <v>42</v>
      </c>
    </row>
    <row r="6" spans="1:1" x14ac:dyDescent="0.35">
      <c r="A6" t="s">
        <v>43</v>
      </c>
    </row>
    <row r="8" spans="1:1" x14ac:dyDescent="0.35">
      <c r="A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99AC-C9DD-934F-8BDD-3CE557F2DB54}">
  <dimension ref="A1:F28"/>
  <sheetViews>
    <sheetView topLeftCell="A10" zoomScale="125" zoomScaleNormal="125" workbookViewId="0">
      <selection activeCell="B2" sqref="B2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5" x14ac:dyDescent="0.35">
      <c r="A1" s="2" t="s">
        <v>12</v>
      </c>
      <c r="B1" s="2" t="s">
        <v>13</v>
      </c>
    </row>
    <row r="2" spans="1:5" x14ac:dyDescent="0.35">
      <c r="A2" s="2" t="s">
        <v>1</v>
      </c>
      <c r="B2" s="2" t="s">
        <v>0</v>
      </c>
    </row>
    <row r="5" spans="1:5" x14ac:dyDescent="0.35">
      <c r="A5" s="2" t="s">
        <v>7</v>
      </c>
    </row>
    <row r="6" spans="1:5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x14ac:dyDescent="0.35">
      <c r="A7" s="2">
        <v>0.05</v>
      </c>
      <c r="B7">
        <v>47.8</v>
      </c>
      <c r="C7">
        <v>58.34</v>
      </c>
      <c r="D7">
        <v>5</v>
      </c>
      <c r="E7">
        <v>5</v>
      </c>
    </row>
    <row r="8" spans="1:5" x14ac:dyDescent="0.35">
      <c r="A8" s="2">
        <v>0.1</v>
      </c>
      <c r="B8">
        <v>60.3</v>
      </c>
      <c r="C8">
        <v>97.1</v>
      </c>
      <c r="D8">
        <v>5</v>
      </c>
      <c r="E8">
        <v>5</v>
      </c>
    </row>
    <row r="9" spans="1:5" x14ac:dyDescent="0.35">
      <c r="A9" s="2">
        <v>0.25</v>
      </c>
      <c r="B9">
        <v>92.1</v>
      </c>
      <c r="C9">
        <v>154.9</v>
      </c>
      <c r="D9">
        <v>12.2</v>
      </c>
      <c r="E9">
        <v>10.6</v>
      </c>
    </row>
    <row r="10" spans="1:5" x14ac:dyDescent="0.35">
      <c r="A10" s="2">
        <v>0.5</v>
      </c>
      <c r="B10">
        <v>202.4</v>
      </c>
      <c r="C10">
        <v>286.10000000000002</v>
      </c>
      <c r="D10">
        <v>36.700000000000003</v>
      </c>
      <c r="E10">
        <v>16.5</v>
      </c>
    </row>
    <row r="11" spans="1:5" x14ac:dyDescent="0.35">
      <c r="A11" s="2">
        <v>1</v>
      </c>
      <c r="B11">
        <v>280</v>
      </c>
      <c r="C11">
        <v>364.5</v>
      </c>
      <c r="D11">
        <v>61.3</v>
      </c>
      <c r="E11">
        <v>22.6</v>
      </c>
    </row>
    <row r="13" spans="1:5" x14ac:dyDescent="0.35">
      <c r="A13" s="2" t="s">
        <v>8</v>
      </c>
    </row>
    <row r="14" spans="1:5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x14ac:dyDescent="0.35">
      <c r="A15" s="2">
        <v>0.05</v>
      </c>
      <c r="B15">
        <v>0.19</v>
      </c>
      <c r="C15">
        <v>0.28000000000000003</v>
      </c>
      <c r="D15" s="5">
        <v>0.02</v>
      </c>
      <c r="E15">
        <v>0.02</v>
      </c>
    </row>
    <row r="16" spans="1:5" x14ac:dyDescent="0.35">
      <c r="A16" s="2">
        <v>0.1</v>
      </c>
      <c r="B16">
        <v>0.25</v>
      </c>
      <c r="C16">
        <v>0.31</v>
      </c>
      <c r="D16">
        <v>0.02</v>
      </c>
      <c r="E16">
        <v>0.02</v>
      </c>
    </row>
    <row r="17" spans="1:6" x14ac:dyDescent="0.35">
      <c r="A17" s="2">
        <v>0.25</v>
      </c>
      <c r="B17">
        <v>0.27</v>
      </c>
      <c r="C17">
        <v>0.61</v>
      </c>
      <c r="D17">
        <v>7.0000000000000007E-2</v>
      </c>
      <c r="E17">
        <v>0.04</v>
      </c>
    </row>
    <row r="18" spans="1:6" x14ac:dyDescent="0.35">
      <c r="A18" s="2">
        <v>0.5</v>
      </c>
      <c r="B18">
        <v>0.38</v>
      </c>
      <c r="C18">
        <v>0.83000000000000007</v>
      </c>
      <c r="D18">
        <v>0.18</v>
      </c>
      <c r="E18">
        <v>0.13</v>
      </c>
    </row>
    <row r="19" spans="1:6" x14ac:dyDescent="0.35">
      <c r="A19" s="2">
        <v>1</v>
      </c>
      <c r="B19">
        <v>0.42</v>
      </c>
      <c r="C19">
        <v>0.88</v>
      </c>
      <c r="D19">
        <v>0.2</v>
      </c>
      <c r="E19">
        <v>0.14000000000000001</v>
      </c>
    </row>
    <row r="24" spans="1:6" x14ac:dyDescent="0.35">
      <c r="A24" s="2">
        <v>0.05</v>
      </c>
      <c r="B24" s="2">
        <f>B7*B15/365</f>
        <v>2.4882191780821915E-2</v>
      </c>
      <c r="C24" s="2">
        <f t="shared" ref="C24:E24" si="0">C7*C15/365</f>
        <v>4.4753972602739736E-2</v>
      </c>
      <c r="D24" s="2">
        <f t="shared" si="0"/>
        <v>2.7397260273972606E-4</v>
      </c>
      <c r="E24" s="2">
        <f t="shared" si="0"/>
        <v>2.7397260273972606E-4</v>
      </c>
      <c r="F24" s="2">
        <f>B24+C24+D24</f>
        <v>6.9910136986301386E-2</v>
      </c>
    </row>
    <row r="25" spans="1:6" x14ac:dyDescent="0.35">
      <c r="A25" s="2">
        <v>0.1</v>
      </c>
      <c r="B25" s="2">
        <f t="shared" ref="B25:E28" si="1">B8*B16/365</f>
        <v>4.13013698630137E-2</v>
      </c>
      <c r="C25" s="2">
        <f t="shared" si="1"/>
        <v>8.2468493150684927E-2</v>
      </c>
      <c r="D25" s="2">
        <f t="shared" si="1"/>
        <v>2.7397260273972606E-4</v>
      </c>
      <c r="E25" s="2">
        <f t="shared" si="1"/>
        <v>2.7397260273972606E-4</v>
      </c>
      <c r="F25" s="2">
        <f t="shared" ref="F25:F28" si="2">B25+C25+D25</f>
        <v>0.12404383561643836</v>
      </c>
    </row>
    <row r="26" spans="1:6" x14ac:dyDescent="0.35">
      <c r="A26" s="2">
        <v>0.25</v>
      </c>
      <c r="B26" s="2">
        <f t="shared" si="1"/>
        <v>6.8128767123287678E-2</v>
      </c>
      <c r="C26" s="2">
        <f t="shared" si="1"/>
        <v>0.25887397260273975</v>
      </c>
      <c r="D26" s="2">
        <f t="shared" si="1"/>
        <v>2.3397260273972601E-3</v>
      </c>
      <c r="E26" s="2">
        <f t="shared" si="1"/>
        <v>1.1616438356164384E-3</v>
      </c>
      <c r="F26" s="2">
        <f t="shared" si="2"/>
        <v>0.32934246575342468</v>
      </c>
    </row>
    <row r="27" spans="1:6" x14ac:dyDescent="0.35">
      <c r="A27" s="2">
        <v>0.5</v>
      </c>
      <c r="B27" s="2">
        <f t="shared" si="1"/>
        <v>0.2107178082191781</v>
      </c>
      <c r="C27" s="2">
        <f t="shared" si="1"/>
        <v>0.65058356164383579</v>
      </c>
      <c r="D27" s="2">
        <f t="shared" si="1"/>
        <v>1.8098630136986302E-2</v>
      </c>
      <c r="E27" s="2">
        <f t="shared" si="1"/>
        <v>5.876712328767123E-3</v>
      </c>
      <c r="F27" s="2">
        <f t="shared" si="2"/>
        <v>0.87940000000000018</v>
      </c>
    </row>
    <row r="28" spans="1:6" x14ac:dyDescent="0.35">
      <c r="A28" s="2">
        <v>1</v>
      </c>
      <c r="B28" s="2">
        <f t="shared" si="1"/>
        <v>0.32219178082191779</v>
      </c>
      <c r="C28" s="2">
        <f t="shared" si="1"/>
        <v>0.87879452054794516</v>
      </c>
      <c r="D28" s="2">
        <f t="shared" si="1"/>
        <v>3.3589041095890414E-2</v>
      </c>
      <c r="E28" s="2">
        <f t="shared" si="1"/>
        <v>8.6684931506849326E-3</v>
      </c>
      <c r="F28" s="2">
        <f t="shared" si="2"/>
        <v>1.2345753424657533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8213-3BE6-F542-97E0-AE71F828B309}">
  <dimension ref="A1:F28"/>
  <sheetViews>
    <sheetView topLeftCell="A10" zoomScale="125" zoomScaleNormal="125" workbookViewId="0">
      <selection activeCell="B7" sqref="B7:E7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5" x14ac:dyDescent="0.35">
      <c r="A1" s="2" t="s">
        <v>12</v>
      </c>
      <c r="B1" s="3" t="s">
        <v>14</v>
      </c>
    </row>
    <row r="2" spans="1:5" x14ac:dyDescent="0.35">
      <c r="A2" s="2" t="s">
        <v>1</v>
      </c>
      <c r="B2" s="2" t="s">
        <v>9</v>
      </c>
    </row>
    <row r="5" spans="1:5" x14ac:dyDescent="0.35">
      <c r="A5" s="2" t="s">
        <v>7</v>
      </c>
    </row>
    <row r="6" spans="1:5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x14ac:dyDescent="0.35">
      <c r="A7" s="2">
        <v>0.05</v>
      </c>
      <c r="B7">
        <v>49.7</v>
      </c>
      <c r="C7">
        <v>39.9</v>
      </c>
      <c r="D7">
        <v>5</v>
      </c>
      <c r="E7">
        <v>5</v>
      </c>
    </row>
    <row r="8" spans="1:5" x14ac:dyDescent="0.35">
      <c r="A8" s="2">
        <v>0.1</v>
      </c>
      <c r="B8">
        <v>63.5</v>
      </c>
      <c r="C8">
        <v>74.8</v>
      </c>
      <c r="D8">
        <v>10.4</v>
      </c>
      <c r="E8">
        <v>11.9</v>
      </c>
    </row>
    <row r="9" spans="1:5" x14ac:dyDescent="0.35">
      <c r="A9" s="2">
        <v>0.25</v>
      </c>
      <c r="B9">
        <v>88.2</v>
      </c>
      <c r="C9">
        <v>86.2</v>
      </c>
      <c r="D9">
        <v>15.5</v>
      </c>
      <c r="E9">
        <v>16.8</v>
      </c>
    </row>
    <row r="10" spans="1:5" x14ac:dyDescent="0.35">
      <c r="A10" s="2">
        <v>0.5</v>
      </c>
      <c r="B10">
        <v>220.70000000000002</v>
      </c>
      <c r="C10">
        <v>162.4</v>
      </c>
      <c r="D10">
        <v>51.5</v>
      </c>
      <c r="E10">
        <v>27.9</v>
      </c>
    </row>
    <row r="11" spans="1:5" x14ac:dyDescent="0.35">
      <c r="A11" s="2">
        <v>1</v>
      </c>
      <c r="B11">
        <v>307.5</v>
      </c>
      <c r="C11">
        <v>303.10000000000002</v>
      </c>
      <c r="D11">
        <v>91.5</v>
      </c>
      <c r="E11">
        <v>36.1</v>
      </c>
    </row>
    <row r="13" spans="1:5" x14ac:dyDescent="0.35">
      <c r="A13" s="2" t="s">
        <v>8</v>
      </c>
    </row>
    <row r="14" spans="1:5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x14ac:dyDescent="0.35">
      <c r="A15" s="2">
        <v>0.05</v>
      </c>
      <c r="B15">
        <v>0.188</v>
      </c>
      <c r="C15">
        <v>0.26700000000000002</v>
      </c>
      <c r="D15" s="5">
        <v>0.02</v>
      </c>
      <c r="E15">
        <v>0.02</v>
      </c>
    </row>
    <row r="16" spans="1:5" x14ac:dyDescent="0.35">
      <c r="A16" s="2">
        <v>0.1</v>
      </c>
      <c r="B16">
        <v>0.22550000000000001</v>
      </c>
      <c r="C16">
        <v>0.38300000000000001</v>
      </c>
      <c r="D16">
        <v>0.15</v>
      </c>
      <c r="E16">
        <v>0.02</v>
      </c>
    </row>
    <row r="17" spans="1:6" x14ac:dyDescent="0.35">
      <c r="A17" s="2">
        <v>0.25</v>
      </c>
      <c r="B17">
        <v>0.35</v>
      </c>
      <c r="C17">
        <v>0.55300000000000005</v>
      </c>
      <c r="D17">
        <v>0.18</v>
      </c>
      <c r="E17">
        <v>0.04</v>
      </c>
    </row>
    <row r="18" spans="1:6" x14ac:dyDescent="0.35">
      <c r="A18" s="2">
        <v>0.5</v>
      </c>
      <c r="B18">
        <v>0.41</v>
      </c>
      <c r="C18">
        <v>0.74900000000000011</v>
      </c>
      <c r="D18">
        <v>0.21199999999999999</v>
      </c>
      <c r="E18">
        <v>0.13</v>
      </c>
    </row>
    <row r="19" spans="1:6" x14ac:dyDescent="0.35">
      <c r="A19" s="2">
        <v>1</v>
      </c>
      <c r="B19">
        <v>0.47</v>
      </c>
      <c r="C19">
        <v>0.79300000000000004</v>
      </c>
      <c r="D19">
        <v>0.23799999999999999</v>
      </c>
      <c r="E19">
        <v>0.14000000000000001</v>
      </c>
    </row>
    <row r="24" spans="1:6" x14ac:dyDescent="0.35">
      <c r="A24" s="2">
        <v>0.05</v>
      </c>
      <c r="B24" s="2">
        <f>B7*B15/365</f>
        <v>2.5598904109589041E-2</v>
      </c>
      <c r="C24" s="2">
        <f t="shared" ref="C24:E24" si="0">C7*C15/365</f>
        <v>2.9187123287671233E-2</v>
      </c>
      <c r="D24" s="2">
        <f t="shared" si="0"/>
        <v>2.7397260273972606E-4</v>
      </c>
      <c r="E24" s="2">
        <f t="shared" si="0"/>
        <v>2.7397260273972606E-4</v>
      </c>
      <c r="F24" s="2">
        <f>B24+C24+D24</f>
        <v>5.5059999999999998E-2</v>
      </c>
    </row>
    <row r="25" spans="1:6" x14ac:dyDescent="0.35">
      <c r="A25" s="2">
        <v>0.1</v>
      </c>
      <c r="B25" s="2">
        <f t="shared" ref="B25:E28" si="1">B8*B16/365</f>
        <v>3.9230821917808217E-2</v>
      </c>
      <c r="C25" s="2">
        <f t="shared" si="1"/>
        <v>7.8488767123287673E-2</v>
      </c>
      <c r="D25" s="2">
        <f t="shared" si="1"/>
        <v>4.2739726027397262E-3</v>
      </c>
      <c r="E25" s="2">
        <f t="shared" si="1"/>
        <v>6.5205479452054799E-4</v>
      </c>
      <c r="F25" s="2">
        <f t="shared" ref="F25:F28" si="2">B25+C25+D25</f>
        <v>0.12199356164383561</v>
      </c>
    </row>
    <row r="26" spans="1:6" x14ac:dyDescent="0.35">
      <c r="A26" s="2">
        <v>0.25</v>
      </c>
      <c r="B26" s="2">
        <f t="shared" si="1"/>
        <v>8.457534246575342E-2</v>
      </c>
      <c r="C26" s="2">
        <f t="shared" si="1"/>
        <v>0.13059890410958905</v>
      </c>
      <c r="D26" s="2">
        <f t="shared" si="1"/>
        <v>7.643835616438356E-3</v>
      </c>
      <c r="E26" s="2">
        <f t="shared" si="1"/>
        <v>1.841095890410959E-3</v>
      </c>
      <c r="F26" s="2">
        <f t="shared" si="2"/>
        <v>0.22281808219178081</v>
      </c>
    </row>
    <row r="27" spans="1:6" x14ac:dyDescent="0.35">
      <c r="A27" s="2">
        <v>0.5</v>
      </c>
      <c r="B27" s="2">
        <f t="shared" si="1"/>
        <v>0.24790958904109586</v>
      </c>
      <c r="C27" s="2">
        <f t="shared" si="1"/>
        <v>0.33325369863013704</v>
      </c>
      <c r="D27" s="2">
        <f t="shared" si="1"/>
        <v>2.9912328767123287E-2</v>
      </c>
      <c r="E27" s="2">
        <f t="shared" si="1"/>
        <v>9.9369863013698632E-3</v>
      </c>
      <c r="F27" s="2">
        <f t="shared" si="2"/>
        <v>0.61107561643835617</v>
      </c>
    </row>
    <row r="28" spans="1:6" x14ac:dyDescent="0.35">
      <c r="A28" s="2">
        <v>1</v>
      </c>
      <c r="B28" s="2">
        <f t="shared" si="1"/>
        <v>0.39595890410958906</v>
      </c>
      <c r="C28" s="2">
        <f t="shared" si="1"/>
        <v>0.65851589041095904</v>
      </c>
      <c r="D28" s="2">
        <f t="shared" si="1"/>
        <v>5.9663013698630127E-2</v>
      </c>
      <c r="E28" s="2">
        <f t="shared" si="1"/>
        <v>1.3846575342465754E-2</v>
      </c>
      <c r="F28" s="2">
        <f t="shared" si="2"/>
        <v>1.1141378082191782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9D5C-DC29-3E4D-8A6B-95BD45B7A020}">
  <dimension ref="A1:S29"/>
  <sheetViews>
    <sheetView zoomScale="111" zoomScaleNormal="125" workbookViewId="0">
      <selection activeCell="C5" sqref="C5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19" x14ac:dyDescent="0.35">
      <c r="A1" s="2" t="s">
        <v>12</v>
      </c>
      <c r="B1" s="2" t="s">
        <v>15</v>
      </c>
    </row>
    <row r="2" spans="1:19" x14ac:dyDescent="0.35">
      <c r="A2" s="2" t="s">
        <v>1</v>
      </c>
      <c r="B2" s="2" t="s">
        <v>10</v>
      </c>
    </row>
    <row r="5" spans="1:19" x14ac:dyDescent="0.35">
      <c r="A5" s="2" t="s">
        <v>7</v>
      </c>
    </row>
    <row r="6" spans="1:19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19" x14ac:dyDescent="0.35">
      <c r="A7" s="2">
        <v>0.05</v>
      </c>
      <c r="B7">
        <v>33.200000000000003</v>
      </c>
      <c r="C7">
        <v>50.988999999999997</v>
      </c>
      <c r="D7">
        <v>23.3</v>
      </c>
      <c r="E7">
        <v>8</v>
      </c>
      <c r="Q7" t="s">
        <v>38</v>
      </c>
      <c r="R7" t="s">
        <v>39</v>
      </c>
      <c r="S7" t="s">
        <v>40</v>
      </c>
    </row>
    <row r="8" spans="1:19" x14ac:dyDescent="0.35">
      <c r="A8" s="2">
        <v>0.1</v>
      </c>
      <c r="B8">
        <v>68</v>
      </c>
      <c r="C8">
        <v>85.948999999999998</v>
      </c>
      <c r="D8">
        <v>32.5</v>
      </c>
      <c r="E8">
        <v>19.5</v>
      </c>
      <c r="O8" t="s">
        <v>37</v>
      </c>
      <c r="P8">
        <v>0.2</v>
      </c>
      <c r="Q8">
        <v>57</v>
      </c>
      <c r="R8">
        <v>0.1</v>
      </c>
      <c r="S8">
        <f>Q8*R8/365</f>
        <v>1.5616438356164384E-2</v>
      </c>
    </row>
    <row r="9" spans="1:19" x14ac:dyDescent="0.35">
      <c r="A9" s="2">
        <v>0.25</v>
      </c>
      <c r="B9">
        <v>97</v>
      </c>
      <c r="C9">
        <v>109.82899999999999</v>
      </c>
      <c r="D9">
        <v>91.9</v>
      </c>
      <c r="E9">
        <v>28.8</v>
      </c>
      <c r="O9" t="s">
        <v>3</v>
      </c>
      <c r="P9">
        <v>0.3</v>
      </c>
      <c r="Q9">
        <v>212</v>
      </c>
      <c r="R9">
        <v>0.9</v>
      </c>
      <c r="S9">
        <f t="shared" ref="S9:S10" si="0">Q9*R9/365</f>
        <v>0.52273972602739727</v>
      </c>
    </row>
    <row r="10" spans="1:19" x14ac:dyDescent="0.35">
      <c r="A10" s="2">
        <v>0.5</v>
      </c>
      <c r="B10">
        <v>198</v>
      </c>
      <c r="C10">
        <v>227</v>
      </c>
      <c r="D10">
        <v>120.9</v>
      </c>
      <c r="E10">
        <v>42.4</v>
      </c>
      <c r="O10" t="s">
        <v>4</v>
      </c>
      <c r="P10">
        <v>0.5</v>
      </c>
      <c r="Q10">
        <v>50</v>
      </c>
      <c r="R10">
        <v>0.05</v>
      </c>
      <c r="S10">
        <f t="shared" si="0"/>
        <v>6.8493150684931503E-3</v>
      </c>
    </row>
    <row r="11" spans="1:19" x14ac:dyDescent="0.35">
      <c r="A11" s="2">
        <v>1</v>
      </c>
      <c r="B11">
        <v>310.39999999999998</v>
      </c>
      <c r="C11">
        <v>335.89100000000008</v>
      </c>
      <c r="D11">
        <v>217.6</v>
      </c>
      <c r="E11">
        <v>51.1</v>
      </c>
      <c r="S11">
        <f>SUM(S8:S10)</f>
        <v>0.54520547945205478</v>
      </c>
    </row>
    <row r="13" spans="1:19" x14ac:dyDescent="0.35">
      <c r="A13" s="2" t="s">
        <v>8</v>
      </c>
    </row>
    <row r="14" spans="1:19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19" x14ac:dyDescent="0.35">
      <c r="A15" s="2">
        <v>0.05</v>
      </c>
      <c r="B15">
        <v>0.17546</v>
      </c>
      <c r="C15">
        <v>0.29508000000000001</v>
      </c>
      <c r="D15" s="5">
        <v>0.1</v>
      </c>
      <c r="E15">
        <v>0.05</v>
      </c>
    </row>
    <row r="16" spans="1:19" x14ac:dyDescent="0.35">
      <c r="A16" s="2">
        <v>0.1</v>
      </c>
      <c r="B16">
        <v>0.22500000000000001</v>
      </c>
      <c r="C16">
        <v>0.34132000000000001</v>
      </c>
      <c r="D16">
        <v>0.19</v>
      </c>
      <c r="E16">
        <v>0.13999999999999999</v>
      </c>
      <c r="M16">
        <v>10</v>
      </c>
      <c r="N16">
        <v>10</v>
      </c>
      <c r="O16">
        <v>5</v>
      </c>
      <c r="P16">
        <v>5</v>
      </c>
    </row>
    <row r="17" spans="1:17" x14ac:dyDescent="0.35">
      <c r="A17" s="2">
        <v>0.25</v>
      </c>
      <c r="B17">
        <v>0.2472</v>
      </c>
      <c r="C17">
        <v>0.67612000000000005</v>
      </c>
      <c r="D17">
        <v>0.26</v>
      </c>
      <c r="E17">
        <v>0.25</v>
      </c>
    </row>
    <row r="18" spans="1:17" x14ac:dyDescent="0.35">
      <c r="A18" s="2">
        <v>0.5</v>
      </c>
      <c r="B18">
        <v>0.29730000000000001</v>
      </c>
      <c r="C18">
        <v>0.92396000000000011</v>
      </c>
      <c r="D18">
        <v>0.34</v>
      </c>
      <c r="E18">
        <v>0.29000000000000004</v>
      </c>
      <c r="M18">
        <v>30</v>
      </c>
      <c r="N18">
        <v>30</v>
      </c>
      <c r="O18">
        <v>10</v>
      </c>
      <c r="P18">
        <v>10</v>
      </c>
    </row>
    <row r="19" spans="1:17" x14ac:dyDescent="0.35">
      <c r="A19" s="2">
        <v>1</v>
      </c>
      <c r="B19">
        <v>0.35</v>
      </c>
      <c r="C19">
        <v>0.98092000000000001</v>
      </c>
      <c r="D19">
        <v>0.46</v>
      </c>
      <c r="E19">
        <v>0.3</v>
      </c>
      <c r="M19">
        <v>25</v>
      </c>
      <c r="N19">
        <v>25</v>
      </c>
      <c r="O19">
        <v>5</v>
      </c>
      <c r="P19">
        <v>5</v>
      </c>
    </row>
    <row r="20" spans="1:17" x14ac:dyDescent="0.35">
      <c r="M20">
        <v>20</v>
      </c>
      <c r="N20">
        <v>20</v>
      </c>
      <c r="O20">
        <v>5</v>
      </c>
      <c r="P20">
        <v>5</v>
      </c>
    </row>
    <row r="21" spans="1:17" x14ac:dyDescent="0.35">
      <c r="M21">
        <v>15</v>
      </c>
      <c r="N21">
        <v>15</v>
      </c>
      <c r="O21">
        <v>5</v>
      </c>
      <c r="P21">
        <v>5</v>
      </c>
    </row>
    <row r="22" spans="1:17" x14ac:dyDescent="0.35">
      <c r="M22">
        <v>5</v>
      </c>
      <c r="N22">
        <v>5</v>
      </c>
      <c r="O22">
        <v>0</v>
      </c>
      <c r="P22">
        <v>0</v>
      </c>
    </row>
    <row r="24" spans="1:17" x14ac:dyDescent="0.35">
      <c r="A24" s="2">
        <v>0.05</v>
      </c>
      <c r="B24" s="2">
        <f>B7*B15/365</f>
        <v>1.5959649315068495E-2</v>
      </c>
      <c r="C24" s="2">
        <f t="shared" ref="C24:E24" si="1">C7*C15/365</f>
        <v>4.1221463342465757E-2</v>
      </c>
      <c r="D24" s="2">
        <f t="shared" si="1"/>
        <v>6.383561643835617E-3</v>
      </c>
      <c r="E24" s="2">
        <f t="shared" si="1"/>
        <v>1.0958904109589042E-3</v>
      </c>
      <c r="F24" s="2">
        <f>B24+C24+D24</f>
        <v>6.3564674301369875E-2</v>
      </c>
    </row>
    <row r="25" spans="1:17" x14ac:dyDescent="0.35">
      <c r="A25" s="2">
        <v>0.1</v>
      </c>
      <c r="B25" s="2">
        <f t="shared" ref="B25:E25" si="2">B8*B16/365</f>
        <v>4.1917808219178086E-2</v>
      </c>
      <c r="C25" s="2">
        <f>C8*C16/365</f>
        <v>8.0372911452054788E-2</v>
      </c>
      <c r="D25" s="2">
        <f t="shared" si="2"/>
        <v>1.6917808219178081E-2</v>
      </c>
      <c r="E25" s="2">
        <f t="shared" si="2"/>
        <v>7.4794520547945189E-3</v>
      </c>
      <c r="F25" s="2">
        <f t="shared" ref="F25:F28" si="3">B25+C25+D25</f>
        <v>0.13920852789041094</v>
      </c>
      <c r="M25">
        <v>0.05</v>
      </c>
      <c r="N25">
        <v>0.05</v>
      </c>
      <c r="O25" s="5">
        <v>0.02</v>
      </c>
      <c r="P25">
        <v>0.02</v>
      </c>
    </row>
    <row r="26" spans="1:17" x14ac:dyDescent="0.35">
      <c r="A26" s="2">
        <v>0.25</v>
      </c>
      <c r="B26" s="2">
        <f t="shared" ref="B26:E26" si="4">B9*B17/365</f>
        <v>6.5694246575342466E-2</v>
      </c>
      <c r="C26" s="2">
        <f t="shared" si="4"/>
        <v>0.20344543419178085</v>
      </c>
      <c r="D26" s="2">
        <f t="shared" si="4"/>
        <v>6.546301369863014E-2</v>
      </c>
      <c r="E26" s="2">
        <f t="shared" si="4"/>
        <v>1.9726027397260273E-2</v>
      </c>
      <c r="F26" s="2">
        <f t="shared" si="3"/>
        <v>0.33460269446575341</v>
      </c>
      <c r="M26">
        <v>0.04</v>
      </c>
      <c r="N26">
        <v>0.04</v>
      </c>
      <c r="O26">
        <v>0.02</v>
      </c>
      <c r="P26">
        <v>0.02</v>
      </c>
      <c r="Q26" s="4"/>
    </row>
    <row r="27" spans="1:17" x14ac:dyDescent="0.35">
      <c r="A27" s="2">
        <v>0.5</v>
      </c>
      <c r="B27" s="2">
        <f t="shared" ref="B27:E27" si="5">B10*B18/365</f>
        <v>0.16127506849315068</v>
      </c>
      <c r="C27" s="2">
        <f t="shared" si="5"/>
        <v>0.57462717808219188</v>
      </c>
      <c r="D27" s="2">
        <f t="shared" si="5"/>
        <v>0.11261917808219178</v>
      </c>
      <c r="E27" s="2">
        <f t="shared" si="5"/>
        <v>3.3687671232876713E-2</v>
      </c>
      <c r="F27" s="2">
        <f t="shared" si="3"/>
        <v>0.84852142465753433</v>
      </c>
      <c r="M27">
        <v>0.04</v>
      </c>
      <c r="N27">
        <v>0.04</v>
      </c>
      <c r="O27">
        <v>0.02</v>
      </c>
      <c r="P27">
        <v>0.02</v>
      </c>
    </row>
    <row r="28" spans="1:17" x14ac:dyDescent="0.35">
      <c r="A28" s="2">
        <v>1</v>
      </c>
      <c r="B28" s="2">
        <f t="shared" ref="B28:E28" si="6">B11*B19/365</f>
        <v>0.29764383561643831</v>
      </c>
      <c r="C28" s="2">
        <f t="shared" si="6"/>
        <v>0.90269095813698652</v>
      </c>
      <c r="D28" s="2">
        <f t="shared" si="6"/>
        <v>0.2742356164383562</v>
      </c>
      <c r="E28" s="2">
        <f t="shared" si="6"/>
        <v>4.2000000000000003E-2</v>
      </c>
      <c r="F28" s="2">
        <f t="shared" si="3"/>
        <v>1.4745704101917809</v>
      </c>
      <c r="M28">
        <v>0.02</v>
      </c>
      <c r="N28">
        <v>0.02</v>
      </c>
      <c r="O28">
        <v>0.02</v>
      </c>
      <c r="P28">
        <v>0.02</v>
      </c>
    </row>
    <row r="29" spans="1:17" x14ac:dyDescent="0.35">
      <c r="M29">
        <v>0.01</v>
      </c>
      <c r="N29">
        <v>0.01</v>
      </c>
      <c r="O29">
        <v>0.01</v>
      </c>
      <c r="P29">
        <v>0.01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CBA4-9338-1340-85B0-3D9299279821}">
  <dimension ref="A1:F28"/>
  <sheetViews>
    <sheetView tabSelected="1" zoomScale="80" zoomScaleNormal="80" workbookViewId="0">
      <selection activeCell="I8" sqref="I8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5" x14ac:dyDescent="0.35">
      <c r="A1" s="2" t="s">
        <v>12</v>
      </c>
      <c r="B1" s="3" t="s">
        <v>16</v>
      </c>
    </row>
    <row r="2" spans="1:5" x14ac:dyDescent="0.35">
      <c r="A2" s="2" t="s">
        <v>1</v>
      </c>
      <c r="B2" s="2" t="s">
        <v>17</v>
      </c>
    </row>
    <row r="5" spans="1:5" x14ac:dyDescent="0.35">
      <c r="A5" s="2" t="s">
        <v>7</v>
      </c>
    </row>
    <row r="6" spans="1:5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x14ac:dyDescent="0.35">
      <c r="A7" s="2">
        <v>0.05</v>
      </c>
      <c r="B7">
        <v>49.7</v>
      </c>
      <c r="C7">
        <v>29.9</v>
      </c>
      <c r="D7">
        <v>18</v>
      </c>
      <c r="E7">
        <v>5</v>
      </c>
    </row>
    <row r="8" spans="1:5" x14ac:dyDescent="0.35">
      <c r="A8" s="2">
        <v>0.1</v>
      </c>
      <c r="B8">
        <v>63.5</v>
      </c>
      <c r="C8">
        <v>44.8</v>
      </c>
      <c r="D8">
        <v>34</v>
      </c>
      <c r="E8">
        <v>11.9</v>
      </c>
    </row>
    <row r="9" spans="1:5" x14ac:dyDescent="0.35">
      <c r="A9" s="2">
        <v>0.25</v>
      </c>
      <c r="B9">
        <v>88.2</v>
      </c>
      <c r="C9">
        <v>66.2</v>
      </c>
      <c r="D9">
        <v>45</v>
      </c>
      <c r="E9">
        <v>16.8</v>
      </c>
    </row>
    <row r="10" spans="1:5" x14ac:dyDescent="0.35">
      <c r="A10" s="2">
        <v>0.5</v>
      </c>
      <c r="B10">
        <v>220.70000000000002</v>
      </c>
      <c r="C10">
        <v>162.4</v>
      </c>
      <c r="D10">
        <v>71</v>
      </c>
      <c r="E10">
        <v>27.9</v>
      </c>
    </row>
    <row r="11" spans="1:5" x14ac:dyDescent="0.35">
      <c r="A11" s="2">
        <v>1</v>
      </c>
      <c r="B11">
        <v>307.5</v>
      </c>
      <c r="C11">
        <v>303.10000000000002</v>
      </c>
      <c r="D11">
        <v>94</v>
      </c>
      <c r="E11">
        <v>36.1</v>
      </c>
    </row>
    <row r="13" spans="1:5" x14ac:dyDescent="0.35">
      <c r="A13" s="2" t="s">
        <v>8</v>
      </c>
    </row>
    <row r="14" spans="1:5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x14ac:dyDescent="0.35">
      <c r="A15" s="2">
        <v>0.05</v>
      </c>
      <c r="B15">
        <v>0.27533333333333299</v>
      </c>
      <c r="C15">
        <v>0.24166666666667</v>
      </c>
      <c r="D15" s="5">
        <v>0.2</v>
      </c>
      <c r="E15">
        <v>0.02</v>
      </c>
    </row>
    <row r="16" spans="1:5" x14ac:dyDescent="0.35">
      <c r="A16" s="2">
        <v>0.1</v>
      </c>
      <c r="B16">
        <v>0.29699999999999999</v>
      </c>
      <c r="C16">
        <v>0.29249999999999998</v>
      </c>
      <c r="D16">
        <v>0.28749999999999998</v>
      </c>
      <c r="E16">
        <v>7.0000000000000007E-2</v>
      </c>
    </row>
    <row r="17" spans="1:6" x14ac:dyDescent="0.35">
      <c r="A17" s="2">
        <v>0.25</v>
      </c>
      <c r="B17">
        <v>0.353333333333333</v>
      </c>
      <c r="C17">
        <v>0.35666666666666663</v>
      </c>
      <c r="D17">
        <v>0.35499999999999998</v>
      </c>
      <c r="E17">
        <v>0.14000000000000001</v>
      </c>
    </row>
    <row r="18" spans="1:6" x14ac:dyDescent="0.35">
      <c r="A18" s="2">
        <v>0.5</v>
      </c>
      <c r="B18">
        <v>0.456666666666667</v>
      </c>
      <c r="C18">
        <v>0.36749999999999999</v>
      </c>
      <c r="D18">
        <v>0.45200000000000001</v>
      </c>
      <c r="E18">
        <v>0.18</v>
      </c>
    </row>
    <row r="19" spans="1:6" x14ac:dyDescent="0.35">
      <c r="A19" s="2">
        <v>1</v>
      </c>
      <c r="B19">
        <v>0.47</v>
      </c>
      <c r="C19">
        <v>0.37250000000000005</v>
      </c>
      <c r="D19">
        <v>0.52299999999999991</v>
      </c>
      <c r="E19">
        <v>0.24</v>
      </c>
    </row>
    <row r="24" spans="1:6" x14ac:dyDescent="0.35">
      <c r="A24" s="2">
        <v>0.05</v>
      </c>
      <c r="B24" s="2">
        <f>B7*B15/365</f>
        <v>3.7490593607305889E-2</v>
      </c>
      <c r="C24" s="2">
        <f t="shared" ref="C24:E24" si="0">C7*C15/365</f>
        <v>1.979680365296831E-2</v>
      </c>
      <c r="D24" s="2">
        <f t="shared" si="0"/>
        <v>9.8630136986301367E-3</v>
      </c>
      <c r="E24" s="2">
        <f t="shared" si="0"/>
        <v>2.7397260273972606E-4</v>
      </c>
      <c r="F24" s="2">
        <f>B24+C24+D24</f>
        <v>6.7150410958904339E-2</v>
      </c>
    </row>
    <row r="25" spans="1:6" x14ac:dyDescent="0.35">
      <c r="A25" s="2">
        <v>0.1</v>
      </c>
      <c r="B25" s="2">
        <f t="shared" ref="B25:E28" si="1">B8*B16/365</f>
        <v>5.1669863013698629E-2</v>
      </c>
      <c r="C25" s="2">
        <f t="shared" si="1"/>
        <v>3.5901369863013698E-2</v>
      </c>
      <c r="D25" s="2">
        <f t="shared" si="1"/>
        <v>2.6780821917808215E-2</v>
      </c>
      <c r="E25" s="2">
        <f t="shared" si="1"/>
        <v>2.2821917808219178E-3</v>
      </c>
      <c r="F25" s="2">
        <f t="shared" ref="F25:F28" si="2">B25+C25+D25</f>
        <v>0.11435205479452054</v>
      </c>
    </row>
    <row r="26" spans="1:6" x14ac:dyDescent="0.35">
      <c r="A26" s="2">
        <v>0.25</v>
      </c>
      <c r="B26" s="2">
        <f t="shared" si="1"/>
        <v>8.5380821917808145E-2</v>
      </c>
      <c r="C26" s="2">
        <f t="shared" si="1"/>
        <v>6.4688584474885832E-2</v>
      </c>
      <c r="D26" s="2">
        <f t="shared" si="1"/>
        <v>4.3767123287671232E-2</v>
      </c>
      <c r="E26" s="2">
        <f t="shared" si="1"/>
        <v>6.4438356164383571E-3</v>
      </c>
      <c r="F26" s="2">
        <f t="shared" si="2"/>
        <v>0.19383652968036522</v>
      </c>
    </row>
    <row r="27" spans="1:6" x14ac:dyDescent="0.35">
      <c r="A27" s="2">
        <v>0.5</v>
      </c>
      <c r="B27" s="2">
        <f t="shared" si="1"/>
        <v>0.27612694063926962</v>
      </c>
      <c r="C27" s="2">
        <f t="shared" si="1"/>
        <v>0.16351232876712329</v>
      </c>
      <c r="D27" s="2">
        <f t="shared" si="1"/>
        <v>8.7923287671232878E-2</v>
      </c>
      <c r="E27" s="2">
        <f t="shared" si="1"/>
        <v>1.375890410958904E-2</v>
      </c>
      <c r="F27" s="2">
        <f t="shared" si="2"/>
        <v>0.52756255707762578</v>
      </c>
    </row>
    <row r="28" spans="1:6" x14ac:dyDescent="0.35">
      <c r="A28" s="2">
        <v>1</v>
      </c>
      <c r="B28" s="2">
        <f t="shared" si="1"/>
        <v>0.39595890410958906</v>
      </c>
      <c r="C28" s="2">
        <f t="shared" si="1"/>
        <v>0.30932808219178087</v>
      </c>
      <c r="D28" s="2">
        <f t="shared" si="1"/>
        <v>0.13469041095890408</v>
      </c>
      <c r="E28" s="2">
        <f t="shared" si="1"/>
        <v>2.3736986301369861E-2</v>
      </c>
      <c r="F28" s="2">
        <f t="shared" si="2"/>
        <v>0.83997739726027409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9AAA-6FF3-E341-B0F6-721576AAF0CB}">
  <dimension ref="A1:F28"/>
  <sheetViews>
    <sheetView zoomScale="125" zoomScaleNormal="125" workbookViewId="0">
      <selection activeCell="G8" sqref="G8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5" x14ac:dyDescent="0.35">
      <c r="A1" s="2" t="s">
        <v>12</v>
      </c>
      <c r="B1" s="3" t="s">
        <v>18</v>
      </c>
    </row>
    <row r="2" spans="1:5" x14ac:dyDescent="0.35">
      <c r="A2" s="2" t="s">
        <v>1</v>
      </c>
      <c r="B2" s="2" t="s">
        <v>19</v>
      </c>
    </row>
    <row r="5" spans="1:5" x14ac:dyDescent="0.35">
      <c r="A5" s="2" t="s">
        <v>7</v>
      </c>
    </row>
    <row r="6" spans="1:5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x14ac:dyDescent="0.35">
      <c r="A7" s="2">
        <v>0.05</v>
      </c>
      <c r="B7">
        <v>42.846153846153847</v>
      </c>
      <c r="C7">
        <v>27.615384615384613</v>
      </c>
      <c r="D7">
        <v>7.3076923076923066</v>
      </c>
      <c r="E7">
        <v>5</v>
      </c>
    </row>
    <row r="8" spans="1:5" x14ac:dyDescent="0.35">
      <c r="A8" s="2">
        <v>0.1</v>
      </c>
      <c r="B8">
        <v>64.615384615384599</v>
      </c>
      <c r="C8">
        <v>60.230769230769198</v>
      </c>
      <c r="D8">
        <v>13.1538461538461</v>
      </c>
      <c r="E8">
        <v>10.307692307692307</v>
      </c>
    </row>
    <row r="9" spans="1:5" x14ac:dyDescent="0.35">
      <c r="A9" s="2">
        <v>0.25</v>
      </c>
      <c r="B9">
        <v>72.461538461538453</v>
      </c>
      <c r="C9">
        <v>105.53846153846</v>
      </c>
      <c r="D9">
        <v>18.076923076923102</v>
      </c>
      <c r="E9">
        <v>14.076923076923077</v>
      </c>
    </row>
    <row r="10" spans="1:5" x14ac:dyDescent="0.35">
      <c r="A10" s="2">
        <v>0.5</v>
      </c>
      <c r="B10">
        <v>173.23076923076923</v>
      </c>
      <c r="C10">
        <v>128.38461538461539</v>
      </c>
      <c r="D10">
        <v>40.769230769230766</v>
      </c>
      <c r="E10">
        <v>22.615384615384613</v>
      </c>
    </row>
    <row r="11" spans="1:5" x14ac:dyDescent="0.35">
      <c r="A11" s="2">
        <v>1</v>
      </c>
      <c r="B11">
        <v>237.69230769230768</v>
      </c>
      <c r="C11">
        <v>234.30769230769232</v>
      </c>
      <c r="D11">
        <v>70.384615384615387</v>
      </c>
      <c r="E11">
        <v>27.76923076923077</v>
      </c>
    </row>
    <row r="13" spans="1:5" x14ac:dyDescent="0.35">
      <c r="A13" s="2" t="s">
        <v>8</v>
      </c>
    </row>
    <row r="14" spans="1:5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x14ac:dyDescent="0.35">
      <c r="A15" s="2">
        <v>0.05</v>
      </c>
      <c r="B15">
        <v>0.27533333333333299</v>
      </c>
      <c r="C15">
        <v>0.29583333333333001</v>
      </c>
      <c r="D15" s="5">
        <v>0.2</v>
      </c>
      <c r="E15">
        <v>0.02</v>
      </c>
    </row>
    <row r="16" spans="1:5" x14ac:dyDescent="0.35">
      <c r="A16" s="2">
        <v>0.1</v>
      </c>
      <c r="B16">
        <v>0.29699999999999999</v>
      </c>
      <c r="C16">
        <v>0.36375000000000002</v>
      </c>
      <c r="D16">
        <v>0.28136363636363598</v>
      </c>
      <c r="E16">
        <v>7.0000000000000007E-2</v>
      </c>
    </row>
    <row r="17" spans="1:6" x14ac:dyDescent="0.35">
      <c r="A17" s="2">
        <v>0.25</v>
      </c>
      <c r="B17">
        <v>0.353333333333333</v>
      </c>
      <c r="C17">
        <v>0.38833333333333331</v>
      </c>
      <c r="D17">
        <v>0.34272727272727299</v>
      </c>
      <c r="E17">
        <v>0.14000000000000001</v>
      </c>
    </row>
    <row r="18" spans="1:6" x14ac:dyDescent="0.35">
      <c r="A18" s="2">
        <v>0.5</v>
      </c>
      <c r="B18">
        <v>0.44666666666666699</v>
      </c>
      <c r="C18">
        <v>0.39125000000000021</v>
      </c>
      <c r="D18">
        <v>0.412727272727273</v>
      </c>
      <c r="E18">
        <v>0.18</v>
      </c>
    </row>
    <row r="19" spans="1:6" x14ac:dyDescent="0.35">
      <c r="A19" s="2">
        <v>1</v>
      </c>
      <c r="B19">
        <v>0.55000000000000004</v>
      </c>
      <c r="C19">
        <v>0.40875000000000011</v>
      </c>
      <c r="D19">
        <v>0.47636363636363627</v>
      </c>
      <c r="E19">
        <v>0.24</v>
      </c>
    </row>
    <row r="24" spans="1:6" x14ac:dyDescent="0.35">
      <c r="A24" s="2">
        <v>0.05</v>
      </c>
      <c r="B24" s="2">
        <f>B7*B15/365</f>
        <v>3.2320477695820124E-2</v>
      </c>
      <c r="C24" s="2">
        <f t="shared" ref="C24:E24" si="0">C7*C15/365</f>
        <v>2.2382332279592302E-2</v>
      </c>
      <c r="D24" s="2">
        <f t="shared" si="0"/>
        <v>4.0042149631190722E-3</v>
      </c>
      <c r="E24" s="2">
        <f t="shared" si="0"/>
        <v>2.7397260273972606E-4</v>
      </c>
      <c r="F24" s="2">
        <f>B24+C24+D24</f>
        <v>5.8707024938531492E-2</v>
      </c>
    </row>
    <row r="25" spans="1:6" x14ac:dyDescent="0.35">
      <c r="A25" s="2">
        <v>0.1</v>
      </c>
      <c r="B25" s="2">
        <f t="shared" ref="B25:E28" si="1">B8*B16/365</f>
        <v>5.2577449947312942E-2</v>
      </c>
      <c r="C25" s="2">
        <f t="shared" si="1"/>
        <v>6.0024499473129579E-2</v>
      </c>
      <c r="D25" s="2">
        <f t="shared" si="1"/>
        <v>1.0139764345243742E-2</v>
      </c>
      <c r="E25" s="2">
        <f t="shared" si="1"/>
        <v>1.9768177028451003E-3</v>
      </c>
      <c r="F25" s="2">
        <f t="shared" ref="F25:F28" si="2">B25+C25+D25</f>
        <v>0.12274171376568627</v>
      </c>
    </row>
    <row r="26" spans="1:6" x14ac:dyDescent="0.35">
      <c r="A26" s="2">
        <v>0.25</v>
      </c>
      <c r="B26" s="2">
        <f t="shared" si="1"/>
        <v>7.0145416227607935E-2</v>
      </c>
      <c r="C26" s="2">
        <f t="shared" si="1"/>
        <v>0.11228521250438893</v>
      </c>
      <c r="D26" s="2">
        <f t="shared" si="1"/>
        <v>1.6973848069738517E-2</v>
      </c>
      <c r="E26" s="2">
        <f t="shared" si="1"/>
        <v>5.399367755532139E-3</v>
      </c>
      <c r="F26" s="2">
        <f t="shared" si="2"/>
        <v>0.19940447680173537</v>
      </c>
    </row>
    <row r="27" spans="1:6" x14ac:dyDescent="0.35">
      <c r="A27" s="2">
        <v>0.5</v>
      </c>
      <c r="B27" s="2">
        <f t="shared" si="1"/>
        <v>0.21199016508605564</v>
      </c>
      <c r="C27" s="2">
        <f t="shared" si="1"/>
        <v>0.13761775553213917</v>
      </c>
      <c r="D27" s="2">
        <f t="shared" si="1"/>
        <v>4.6100201168694344E-2</v>
      </c>
      <c r="E27" s="2">
        <f t="shared" si="1"/>
        <v>1.1152792413066383E-2</v>
      </c>
      <c r="F27" s="2">
        <f t="shared" si="2"/>
        <v>0.39570812178688913</v>
      </c>
    </row>
    <row r="28" spans="1:6" x14ac:dyDescent="0.35">
      <c r="A28" s="2">
        <v>1</v>
      </c>
      <c r="B28" s="2">
        <f t="shared" si="1"/>
        <v>0.35816649104320336</v>
      </c>
      <c r="C28" s="2">
        <f t="shared" si="1"/>
        <v>0.26239251844046374</v>
      </c>
      <c r="D28" s="2">
        <f t="shared" si="1"/>
        <v>9.1859373503209107E-2</v>
      </c>
      <c r="E28" s="2">
        <f t="shared" si="1"/>
        <v>1.825922023182297E-2</v>
      </c>
      <c r="F28" s="2">
        <f t="shared" si="2"/>
        <v>0.71241838298687621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6967-CBE7-3B4C-9AF9-BFD18655DBE3}">
  <dimension ref="A1:H28"/>
  <sheetViews>
    <sheetView zoomScale="125" zoomScaleNormal="125" workbookViewId="0">
      <selection activeCell="B7" sqref="B7:E7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8" x14ac:dyDescent="0.35">
      <c r="A1" s="2" t="s">
        <v>12</v>
      </c>
      <c r="B1" s="3" t="s">
        <v>20</v>
      </c>
    </row>
    <row r="2" spans="1:8" x14ac:dyDescent="0.35">
      <c r="A2" s="2" t="s">
        <v>1</v>
      </c>
      <c r="B2" s="2" t="s">
        <v>21</v>
      </c>
    </row>
    <row r="5" spans="1:8" x14ac:dyDescent="0.35">
      <c r="A5" s="2" t="s">
        <v>7</v>
      </c>
    </row>
    <row r="6" spans="1:8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8" x14ac:dyDescent="0.35">
      <c r="A7" s="2">
        <v>0.05</v>
      </c>
      <c r="B7">
        <v>39.866220735785959</v>
      </c>
      <c r="C7">
        <v>26.62207357859532</v>
      </c>
      <c r="D7">
        <v>7.0066889632107028</v>
      </c>
      <c r="E7">
        <v>5</v>
      </c>
      <c r="H7" s="1"/>
    </row>
    <row r="8" spans="1:8" x14ac:dyDescent="0.35">
      <c r="A8" s="2">
        <v>0.1</v>
      </c>
      <c r="B8">
        <v>70.752508361203994</v>
      </c>
      <c r="C8">
        <v>62.244147157190604</v>
      </c>
      <c r="D8">
        <v>18.6120401337792</v>
      </c>
      <c r="E8">
        <v>9.6153846153846168</v>
      </c>
    </row>
    <row r="9" spans="1:8" x14ac:dyDescent="0.35">
      <c r="A9" s="2">
        <v>0.25</v>
      </c>
      <c r="B9">
        <v>93.290434782608713</v>
      </c>
      <c r="C9">
        <v>80.903010033444801</v>
      </c>
      <c r="D9">
        <v>22.023411371237501</v>
      </c>
      <c r="E9">
        <v>12.892976588628763</v>
      </c>
    </row>
    <row r="10" spans="1:8" x14ac:dyDescent="0.35">
      <c r="A10" s="2">
        <v>0.5</v>
      </c>
      <c r="B10">
        <v>152.59197324414717</v>
      </c>
      <c r="C10">
        <v>113.59531772575252</v>
      </c>
      <c r="D10">
        <v>36.103678929765891</v>
      </c>
      <c r="E10">
        <v>20.317725752508359</v>
      </c>
    </row>
    <row r="11" spans="1:8" x14ac:dyDescent="0.35">
      <c r="A11" s="2">
        <v>1</v>
      </c>
      <c r="B11">
        <v>207.34113712374582</v>
      </c>
      <c r="C11">
        <v>204.39799331103683</v>
      </c>
      <c r="D11">
        <v>61.204013377926429</v>
      </c>
      <c r="E11">
        <v>24.147157190635454</v>
      </c>
    </row>
    <row r="13" spans="1:8" x14ac:dyDescent="0.35">
      <c r="A13" s="2" t="s">
        <v>8</v>
      </c>
    </row>
    <row r="14" spans="1:8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8" x14ac:dyDescent="0.35">
      <c r="A15" s="2">
        <v>0.05</v>
      </c>
      <c r="B15">
        <v>0.17367601246105899</v>
      </c>
      <c r="C15">
        <v>0.225685358255452</v>
      </c>
      <c r="D15" s="5">
        <v>0.2</v>
      </c>
      <c r="E15">
        <v>0.02</v>
      </c>
      <c r="G15" s="1"/>
    </row>
    <row r="16" spans="1:8" x14ac:dyDescent="0.35">
      <c r="A16" s="2">
        <v>0.1</v>
      </c>
      <c r="B16">
        <v>0.193271028037383</v>
      </c>
      <c r="C16">
        <v>0.25565420560747698</v>
      </c>
      <c r="D16">
        <v>0.27734919286321102</v>
      </c>
      <c r="E16">
        <v>7.0000000000000007E-2</v>
      </c>
    </row>
    <row r="17" spans="1:6" x14ac:dyDescent="0.35">
      <c r="A17" s="2">
        <v>0.25</v>
      </c>
      <c r="B17">
        <v>0.24591900311526499</v>
      </c>
      <c r="C17">
        <v>0.36554517133956382</v>
      </c>
      <c r="D17">
        <v>0.33469838572642302</v>
      </c>
      <c r="E17">
        <v>0.14000000000000001</v>
      </c>
    </row>
    <row r="18" spans="1:6" x14ac:dyDescent="0.35">
      <c r="A18" s="2">
        <v>0.5</v>
      </c>
      <c r="B18">
        <v>0.33838006230529599</v>
      </c>
      <c r="C18">
        <v>0.39696261682243</v>
      </c>
      <c r="D18">
        <v>0.38703483432455399</v>
      </c>
      <c r="E18">
        <v>0.18</v>
      </c>
    </row>
    <row r="19" spans="1:6" x14ac:dyDescent="0.35">
      <c r="A19" s="2">
        <v>1</v>
      </c>
      <c r="B19">
        <v>0.440841121495327</v>
      </c>
      <c r="C19">
        <v>0.48266355140186901</v>
      </c>
      <c r="D19">
        <v>0.4458538657604077</v>
      </c>
      <c r="E19">
        <v>0.24</v>
      </c>
    </row>
    <row r="24" spans="1:6" x14ac:dyDescent="0.35">
      <c r="A24" s="2">
        <v>0.05</v>
      </c>
      <c r="B24" s="2">
        <f>B7*B15/365</f>
        <v>1.896933218981833E-2</v>
      </c>
      <c r="C24" s="2">
        <f t="shared" ref="C24:E24" si="0">C7*C15/365</f>
        <v>1.6460855378324077E-2</v>
      </c>
      <c r="D24" s="2">
        <f t="shared" si="0"/>
        <v>3.8392816236770978E-3</v>
      </c>
      <c r="E24" s="2">
        <f t="shared" si="0"/>
        <v>2.7397260273972606E-4</v>
      </c>
      <c r="F24" s="2">
        <f>B24+C24+D24</f>
        <v>3.9269469191819506E-2</v>
      </c>
    </row>
    <row r="25" spans="1:6" x14ac:dyDescent="0.35">
      <c r="A25" s="2">
        <v>0.1</v>
      </c>
      <c r="B25" s="2">
        <f t="shared" ref="B25:E28" si="1">B8*B16/365</f>
        <v>3.7464137060803919E-2</v>
      </c>
      <c r="C25" s="2">
        <f t="shared" si="1"/>
        <v>4.3597199986812218E-2</v>
      </c>
      <c r="D25" s="2">
        <f t="shared" si="1"/>
        <v>1.414255974970233E-2</v>
      </c>
      <c r="E25" s="2">
        <f t="shared" si="1"/>
        <v>1.8440463645943103E-3</v>
      </c>
      <c r="F25" s="2">
        <f t="shared" ref="F25:F28" si="2">B25+C25+D25</f>
        <v>9.5203896797318471E-2</v>
      </c>
    </row>
    <row r="26" spans="1:6" x14ac:dyDescent="0.35">
      <c r="A26" s="2">
        <v>0.25</v>
      </c>
      <c r="B26" s="2">
        <f t="shared" si="1"/>
        <v>6.2854495128571997E-2</v>
      </c>
      <c r="C26" s="2">
        <f t="shared" si="1"/>
        <v>8.1023848396060361E-2</v>
      </c>
      <c r="D26" s="2">
        <f t="shared" si="1"/>
        <v>2.0195069134636E-2</v>
      </c>
      <c r="E26" s="2">
        <f t="shared" si="1"/>
        <v>4.9452512942685664E-3</v>
      </c>
      <c r="F26" s="2">
        <f t="shared" si="2"/>
        <v>0.16407341265926836</v>
      </c>
    </row>
    <row r="27" spans="1:6" x14ac:dyDescent="0.35">
      <c r="A27" s="2">
        <v>0.5</v>
      </c>
      <c r="B27" s="2">
        <f t="shared" si="1"/>
        <v>0.14146323674970568</v>
      </c>
      <c r="C27" s="2">
        <f t="shared" si="1"/>
        <v>0.12354272488545229</v>
      </c>
      <c r="D27" s="2">
        <f t="shared" si="1"/>
        <v>3.8283236693394063E-2</v>
      </c>
      <c r="E27" s="2">
        <f t="shared" si="1"/>
        <v>1.0019700371100013E-2</v>
      </c>
      <c r="F27" s="2">
        <f t="shared" si="2"/>
        <v>0.30328919832855206</v>
      </c>
    </row>
    <row r="28" spans="1:6" x14ac:dyDescent="0.35">
      <c r="A28" s="2">
        <v>1</v>
      </c>
      <c r="B28" s="2">
        <f t="shared" si="1"/>
        <v>0.25042328608698217</v>
      </c>
      <c r="C28" s="2">
        <f t="shared" si="1"/>
        <v>0.2702889352080014</v>
      </c>
      <c r="D28" s="2">
        <f t="shared" si="1"/>
        <v>7.4761769766027969E-2</v>
      </c>
      <c r="E28" s="2">
        <f t="shared" si="1"/>
        <v>1.5877582810280847E-2</v>
      </c>
      <c r="F28" s="2">
        <f t="shared" si="2"/>
        <v>0.59547399106101151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3E58-9151-D446-9285-09FAA0334CD4}">
  <dimension ref="A1:H28"/>
  <sheetViews>
    <sheetView zoomScale="125" zoomScaleNormal="125" workbookViewId="0">
      <selection activeCell="B7" sqref="B7:E7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8" x14ac:dyDescent="0.35">
      <c r="A1" s="2" t="s">
        <v>12</v>
      </c>
      <c r="B1" s="3" t="s">
        <v>22</v>
      </c>
    </row>
    <row r="2" spans="1:8" x14ac:dyDescent="0.35">
      <c r="A2" s="2" t="s">
        <v>1</v>
      </c>
      <c r="B2" s="2" t="s">
        <v>23</v>
      </c>
    </row>
    <row r="5" spans="1:8" x14ac:dyDescent="0.35">
      <c r="A5" s="2" t="s">
        <v>7</v>
      </c>
    </row>
    <row r="6" spans="1:8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8" x14ac:dyDescent="0.35">
      <c r="A7" s="2">
        <v>0.05</v>
      </c>
      <c r="B7">
        <v>39.866220735785959</v>
      </c>
      <c r="C7">
        <v>26.62207357859532</v>
      </c>
      <c r="D7">
        <v>7.0066889632107028</v>
      </c>
      <c r="E7">
        <v>7.4</v>
      </c>
      <c r="G7" s="1"/>
      <c r="H7" s="1"/>
    </row>
    <row r="8" spans="1:8" x14ac:dyDescent="0.35">
      <c r="A8" s="2">
        <v>0.1</v>
      </c>
      <c r="B8">
        <v>50.752508361204015</v>
      </c>
      <c r="C8">
        <v>38.244147157190639</v>
      </c>
      <c r="D8">
        <v>18.6120401337792</v>
      </c>
      <c r="E8">
        <v>13.5</v>
      </c>
    </row>
    <row r="9" spans="1:8" x14ac:dyDescent="0.35">
      <c r="A9" s="2">
        <v>0.25</v>
      </c>
      <c r="B9">
        <v>93.290434782608713</v>
      </c>
      <c r="C9">
        <v>50.903010033444815</v>
      </c>
      <c r="D9">
        <v>22.023411371237501</v>
      </c>
      <c r="E9">
        <v>14.34</v>
      </c>
    </row>
    <row r="10" spans="1:8" x14ac:dyDescent="0.35">
      <c r="A10" s="2">
        <v>0.5</v>
      </c>
      <c r="B10">
        <v>152.59197324414717</v>
      </c>
      <c r="C10">
        <v>113.59531772575252</v>
      </c>
      <c r="D10">
        <v>36.103678929765891</v>
      </c>
      <c r="E10">
        <v>22.3</v>
      </c>
    </row>
    <row r="11" spans="1:8" x14ac:dyDescent="0.35">
      <c r="A11" s="2">
        <v>1</v>
      </c>
      <c r="B11">
        <v>207.34113712374582</v>
      </c>
      <c r="C11">
        <v>204.39799331103683</v>
      </c>
      <c r="D11">
        <v>61.204013377926429</v>
      </c>
      <c r="E11">
        <v>25.9</v>
      </c>
    </row>
    <row r="13" spans="1:8" x14ac:dyDescent="0.35">
      <c r="A13" s="2" t="s">
        <v>8</v>
      </c>
    </row>
    <row r="14" spans="1:8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8" x14ac:dyDescent="0.35">
      <c r="A15" s="2">
        <v>0.05</v>
      </c>
      <c r="B15">
        <v>7.9121495327102803E-2</v>
      </c>
      <c r="C15">
        <v>8.9775255896751227E-2</v>
      </c>
      <c r="D15" s="5">
        <v>0.02</v>
      </c>
      <c r="E15">
        <v>0.02</v>
      </c>
      <c r="G15" s="1"/>
    </row>
    <row r="16" spans="1:8" x14ac:dyDescent="0.35">
      <c r="A16" s="2">
        <v>0.1</v>
      </c>
      <c r="B16">
        <v>0.10552336448598129</v>
      </c>
      <c r="C16">
        <v>0.12261014686248331</v>
      </c>
      <c r="D16">
        <v>6.0963709188008253E-2</v>
      </c>
      <c r="E16">
        <v>7.0000000000000007E-2</v>
      </c>
    </row>
    <row r="17" spans="1:6" x14ac:dyDescent="0.35">
      <c r="A17" s="2">
        <v>0.25</v>
      </c>
      <c r="B17">
        <v>0.17028037383177572</v>
      </c>
      <c r="C17">
        <v>0.27253226524254559</v>
      </c>
      <c r="D17">
        <v>0.10192741837601652</v>
      </c>
      <c r="E17">
        <v>0.14000000000000001</v>
      </c>
    </row>
    <row r="18" spans="1:6" x14ac:dyDescent="0.35">
      <c r="A18" s="2">
        <v>0.5</v>
      </c>
      <c r="B18">
        <v>0.17560747663551399</v>
      </c>
      <c r="C18">
        <v>0.28783044058745</v>
      </c>
      <c r="D18">
        <v>0.28216773880325285</v>
      </c>
      <c r="E18">
        <v>0.18</v>
      </c>
    </row>
    <row r="19" spans="1:6" x14ac:dyDescent="0.35">
      <c r="A19" s="2">
        <v>1</v>
      </c>
      <c r="B19">
        <v>0.19093457943925199</v>
      </c>
      <c r="C19">
        <v>0.296188251001335</v>
      </c>
      <c r="D19">
        <v>0.32132418982886268</v>
      </c>
      <c r="E19">
        <v>0.24</v>
      </c>
    </row>
    <row r="24" spans="1:6" x14ac:dyDescent="0.35">
      <c r="A24" s="2">
        <v>0.05</v>
      </c>
      <c r="B24" s="2">
        <f>B7*B15/365</f>
        <v>8.6418493086458572E-3</v>
      </c>
      <c r="C24" s="2">
        <f t="shared" ref="C24:E24" si="0">C7*C15/365</f>
        <v>6.5479547069055739E-3</v>
      </c>
      <c r="D24" s="2">
        <f t="shared" si="0"/>
        <v>3.8392816236770973E-4</v>
      </c>
      <c r="E24" s="2">
        <f t="shared" si="0"/>
        <v>4.0547945205479457E-4</v>
      </c>
      <c r="F24" s="2">
        <f>B24+C24+D24</f>
        <v>1.5573732177919141E-2</v>
      </c>
    </row>
    <row r="25" spans="1:6" x14ac:dyDescent="0.35">
      <c r="A25" s="2">
        <v>0.1</v>
      </c>
      <c r="B25" s="2">
        <f t="shared" ref="B25:E28" si="1">B8*B16/365</f>
        <v>1.4672809420211354E-2</v>
      </c>
      <c r="C25" s="2">
        <f t="shared" si="1"/>
        <v>1.2846905478283748E-2</v>
      </c>
      <c r="D25" s="2">
        <f t="shared" si="1"/>
        <v>3.1086548003048035E-3</v>
      </c>
      <c r="E25" s="2">
        <f t="shared" si="1"/>
        <v>2.5890410958904113E-3</v>
      </c>
      <c r="F25" s="2">
        <f t="shared" ref="F25:F28" si="2">B25+C25+D25</f>
        <v>3.0628369698799906E-2</v>
      </c>
    </row>
    <row r="26" spans="1:6" x14ac:dyDescent="0.35">
      <c r="A26" s="2">
        <v>0.25</v>
      </c>
      <c r="B26" s="2">
        <f t="shared" si="1"/>
        <v>4.3522000300579462E-2</v>
      </c>
      <c r="C26" s="2">
        <f t="shared" si="1"/>
        <v>3.8007431868708877E-2</v>
      </c>
      <c r="D26" s="2">
        <f t="shared" si="1"/>
        <v>6.1501081230225874E-3</v>
      </c>
      <c r="E26" s="2">
        <f t="shared" si="1"/>
        <v>5.5002739726027396E-3</v>
      </c>
      <c r="F26" s="2">
        <f t="shared" si="2"/>
        <v>8.767954029231094E-2</v>
      </c>
    </row>
    <row r="27" spans="1:6" x14ac:dyDescent="0.35">
      <c r="A27" s="2">
        <v>0.5</v>
      </c>
      <c r="B27" s="2">
        <f t="shared" si="1"/>
        <v>7.34144969212015E-2</v>
      </c>
      <c r="C27" s="2">
        <f t="shared" si="1"/>
        <v>8.9578603697738943E-2</v>
      </c>
      <c r="D27" s="2">
        <f t="shared" si="1"/>
        <v>2.7910393002988178E-2</v>
      </c>
      <c r="E27" s="2">
        <f t="shared" si="1"/>
        <v>1.0997260273972603E-2</v>
      </c>
      <c r="F27" s="2">
        <f t="shared" si="2"/>
        <v>0.19090349362192863</v>
      </c>
    </row>
    <row r="28" spans="1:6" x14ac:dyDescent="0.35">
      <c r="A28" s="2">
        <v>1</v>
      </c>
      <c r="B28" s="2">
        <f t="shared" si="1"/>
        <v>0.10846189812925668</v>
      </c>
      <c r="C28" s="2">
        <f t="shared" si="1"/>
        <v>0.16586379218350294</v>
      </c>
      <c r="D28" s="2">
        <f t="shared" si="1"/>
        <v>5.3880356199827631E-2</v>
      </c>
      <c r="E28" s="2">
        <f t="shared" si="1"/>
        <v>1.7030136986301368E-2</v>
      </c>
      <c r="F28" s="2">
        <f t="shared" si="2"/>
        <v>0.32820604651258722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1773-5645-3143-88B1-EB1DCDA84F92}">
  <dimension ref="A1:H28"/>
  <sheetViews>
    <sheetView zoomScale="125" zoomScaleNormal="125" workbookViewId="0">
      <selection activeCell="B7" sqref="B7:E7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8" x14ac:dyDescent="0.35">
      <c r="A1" s="2" t="s">
        <v>12</v>
      </c>
      <c r="B1" s="3" t="s">
        <v>25</v>
      </c>
    </row>
    <row r="2" spans="1:8" x14ac:dyDescent="0.35">
      <c r="A2" s="2" t="s">
        <v>1</v>
      </c>
      <c r="B2" s="2" t="s">
        <v>26</v>
      </c>
    </row>
    <row r="5" spans="1:8" x14ac:dyDescent="0.35">
      <c r="A5" s="2" t="s">
        <v>7</v>
      </c>
    </row>
    <row r="6" spans="1:8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8" x14ac:dyDescent="0.35">
      <c r="A7" s="2">
        <v>0.05</v>
      </c>
      <c r="B7">
        <v>49.7</v>
      </c>
      <c r="C7">
        <v>29.9</v>
      </c>
      <c r="D7">
        <v>8.9</v>
      </c>
      <c r="E7">
        <v>5</v>
      </c>
    </row>
    <row r="8" spans="1:8" x14ac:dyDescent="0.35">
      <c r="A8" s="2">
        <v>0.1</v>
      </c>
      <c r="B8">
        <v>63.5</v>
      </c>
      <c r="C8">
        <v>44.8</v>
      </c>
      <c r="D8">
        <v>12.02</v>
      </c>
      <c r="E8">
        <v>11.9</v>
      </c>
    </row>
    <row r="9" spans="1:8" x14ac:dyDescent="0.35">
      <c r="A9" s="2">
        <v>0.25</v>
      </c>
      <c r="B9">
        <v>88.2</v>
      </c>
      <c r="C9">
        <v>66.2</v>
      </c>
      <c r="D9">
        <v>18.649999999999999</v>
      </c>
      <c r="E9">
        <v>16.8</v>
      </c>
      <c r="H9" s="2"/>
    </row>
    <row r="10" spans="1:8" x14ac:dyDescent="0.35">
      <c r="A10" s="2">
        <v>0.5</v>
      </c>
      <c r="B10">
        <v>186.41666666666669</v>
      </c>
      <c r="C10">
        <v>137.83333333333334</v>
      </c>
      <c r="D10">
        <v>55.375</v>
      </c>
      <c r="E10">
        <v>24.083333333333332</v>
      </c>
    </row>
    <row r="11" spans="1:8" x14ac:dyDescent="0.35">
      <c r="A11" s="2">
        <v>1</v>
      </c>
      <c r="B11">
        <v>257.08333333333337</v>
      </c>
      <c r="C11">
        <v>253.41666666666669</v>
      </c>
      <c r="D11">
        <v>99.125</v>
      </c>
      <c r="E11">
        <v>30.083333333333336</v>
      </c>
      <c r="H11" s="2"/>
    </row>
    <row r="13" spans="1:8" x14ac:dyDescent="0.35">
      <c r="A13" s="2" t="s">
        <v>8</v>
      </c>
    </row>
    <row r="14" spans="1:8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8" x14ac:dyDescent="0.35">
      <c r="A15" s="2">
        <v>0.05</v>
      </c>
      <c r="B15">
        <v>0.16809523809523799</v>
      </c>
      <c r="C15">
        <v>0.18869047619047599</v>
      </c>
      <c r="D15" s="5">
        <v>0.15</v>
      </c>
      <c r="E15">
        <v>0.02</v>
      </c>
    </row>
    <row r="16" spans="1:8" x14ac:dyDescent="0.35">
      <c r="A16" s="2">
        <v>0.1</v>
      </c>
      <c r="B16">
        <v>0.18071428571428499</v>
      </c>
      <c r="C16">
        <v>0.220357142857143</v>
      </c>
      <c r="D16">
        <v>0.282678571428571</v>
      </c>
      <c r="E16">
        <v>7.0000000000000007E-2</v>
      </c>
    </row>
    <row r="17" spans="1:6" x14ac:dyDescent="0.35">
      <c r="A17" s="2">
        <v>0.25</v>
      </c>
      <c r="B17">
        <v>0.22095238095238101</v>
      </c>
      <c r="C17">
        <v>0.2661904761904762</v>
      </c>
      <c r="D17">
        <v>0.34535714285714297</v>
      </c>
      <c r="E17">
        <v>0.14000000000000001</v>
      </c>
    </row>
    <row r="18" spans="1:6" x14ac:dyDescent="0.35">
      <c r="A18" s="2">
        <v>0.5</v>
      </c>
      <c r="B18">
        <v>0.31047619047619002</v>
      </c>
      <c r="C18">
        <v>0.36107142857142899</v>
      </c>
      <c r="D18">
        <v>0.42114285714285721</v>
      </c>
      <c r="E18">
        <v>0.18</v>
      </c>
    </row>
    <row r="19" spans="1:6" x14ac:dyDescent="0.35">
      <c r="A19" s="2">
        <v>1</v>
      </c>
      <c r="B19">
        <v>0.35</v>
      </c>
      <c r="C19">
        <v>0.37250000000000005</v>
      </c>
      <c r="D19">
        <v>0.67689999999999995</v>
      </c>
      <c r="E19">
        <v>0.24</v>
      </c>
    </row>
    <row r="24" spans="1:6" x14ac:dyDescent="0.35">
      <c r="A24" s="2">
        <v>0.05</v>
      </c>
      <c r="B24" s="2">
        <f>B7*B15/365</f>
        <v>2.2888584474885836E-2</v>
      </c>
      <c r="C24" s="2">
        <f t="shared" ref="C24:E24" si="0">C7*C15/365</f>
        <v>1.5457110241356799E-2</v>
      </c>
      <c r="D24" s="2">
        <f t="shared" si="0"/>
        <v>3.6575342465753422E-3</v>
      </c>
      <c r="E24" s="2">
        <f t="shared" si="0"/>
        <v>2.7397260273972606E-4</v>
      </c>
      <c r="F24" s="2">
        <f>B24+C24+D24</f>
        <v>4.2003228962817975E-2</v>
      </c>
    </row>
    <row r="25" spans="1:6" x14ac:dyDescent="0.35">
      <c r="A25" s="2">
        <v>0.1</v>
      </c>
      <c r="B25" s="2">
        <f t="shared" ref="B25:E28" si="1">B8*B16/365</f>
        <v>3.1439334637964653E-2</v>
      </c>
      <c r="C25" s="2">
        <f t="shared" si="1"/>
        <v>2.7046575342465767E-2</v>
      </c>
      <c r="D25" s="2">
        <f t="shared" si="1"/>
        <v>9.3090313111545836E-3</v>
      </c>
      <c r="E25" s="2">
        <f t="shared" si="1"/>
        <v>2.2821917808219178E-3</v>
      </c>
      <c r="F25" s="2">
        <f t="shared" ref="F25:F28" si="2">B25+C25+D25</f>
        <v>6.7794941291585004E-2</v>
      </c>
    </row>
    <row r="26" spans="1:6" x14ac:dyDescent="0.35">
      <c r="A26" s="2">
        <v>0.25</v>
      </c>
      <c r="B26" s="2">
        <f t="shared" si="1"/>
        <v>5.3391780821917825E-2</v>
      </c>
      <c r="C26" s="2">
        <f t="shared" si="1"/>
        <v>4.8278930202217872E-2</v>
      </c>
      <c r="D26" s="2">
        <f t="shared" si="1"/>
        <v>1.7646330724070455E-2</v>
      </c>
      <c r="E26" s="2">
        <f t="shared" si="1"/>
        <v>6.4438356164383571E-3</v>
      </c>
      <c r="F26" s="2">
        <f t="shared" si="2"/>
        <v>0.11931704174820615</v>
      </c>
    </row>
    <row r="27" spans="1:6" x14ac:dyDescent="0.35">
      <c r="A27" s="2">
        <v>0.5</v>
      </c>
      <c r="B27" s="2">
        <f t="shared" si="1"/>
        <v>0.15856968906283953</v>
      </c>
      <c r="C27" s="2">
        <f t="shared" si="1"/>
        <v>0.13634980430528393</v>
      </c>
      <c r="D27" s="2">
        <f t="shared" si="1"/>
        <v>6.3892563600782798E-2</v>
      </c>
      <c r="E27" s="2">
        <f t="shared" si="1"/>
        <v>1.1876712328767124E-2</v>
      </c>
      <c r="F27" s="2">
        <f t="shared" si="2"/>
        <v>0.35881205696890628</v>
      </c>
    </row>
    <row r="28" spans="1:6" x14ac:dyDescent="0.35">
      <c r="A28" s="2">
        <v>1</v>
      </c>
      <c r="B28" s="2">
        <f t="shared" si="1"/>
        <v>0.24651826484018266</v>
      </c>
      <c r="C28" s="2">
        <f t="shared" si="1"/>
        <v>0.25862385844748864</v>
      </c>
      <c r="D28" s="2">
        <f t="shared" si="1"/>
        <v>0.1838293493150685</v>
      </c>
      <c r="E28" s="2">
        <f t="shared" si="1"/>
        <v>1.9780821917808222E-2</v>
      </c>
      <c r="F28" s="2">
        <f t="shared" si="2"/>
        <v>0.68897147260273983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05B8-BC5C-4E47-A782-9B6F41154771}">
  <dimension ref="A1:F28"/>
  <sheetViews>
    <sheetView zoomScale="125" zoomScaleNormal="125" workbookViewId="0">
      <selection activeCell="B7" sqref="B7:E7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5" x14ac:dyDescent="0.35">
      <c r="A1" s="2" t="s">
        <v>12</v>
      </c>
      <c r="B1" s="2" t="s">
        <v>27</v>
      </c>
    </row>
    <row r="2" spans="1:5" x14ac:dyDescent="0.35">
      <c r="A2" s="2" t="s">
        <v>1</v>
      </c>
      <c r="B2" s="2" t="s">
        <v>28</v>
      </c>
    </row>
    <row r="5" spans="1:5" x14ac:dyDescent="0.35">
      <c r="A5" s="2" t="s">
        <v>7</v>
      </c>
    </row>
    <row r="6" spans="1:5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x14ac:dyDescent="0.35">
      <c r="A7" s="2">
        <v>0.05</v>
      </c>
      <c r="B7">
        <v>32</v>
      </c>
      <c r="C7">
        <v>29.990000000000002</v>
      </c>
      <c r="D7">
        <v>21.636363636363637</v>
      </c>
      <c r="E7">
        <v>7.7272727272727266</v>
      </c>
    </row>
    <row r="8" spans="1:5" x14ac:dyDescent="0.35">
      <c r="A8" s="2">
        <v>0.1</v>
      </c>
      <c r="B8">
        <v>64.090909090909093</v>
      </c>
      <c r="C8">
        <v>71.317272727272723</v>
      </c>
      <c r="D8">
        <v>29.999999999999996</v>
      </c>
      <c r="E8">
        <v>18.18181818181818</v>
      </c>
    </row>
    <row r="9" spans="1:5" x14ac:dyDescent="0.35">
      <c r="A9" s="2">
        <v>0.25</v>
      </c>
      <c r="B9">
        <v>72.090909090909093</v>
      </c>
      <c r="C9">
        <v>74.389999999999986</v>
      </c>
      <c r="D9">
        <v>84</v>
      </c>
      <c r="E9">
        <v>26.636363636363637</v>
      </c>
    </row>
    <row r="10" spans="1:5" x14ac:dyDescent="0.35">
      <c r="A10" s="2">
        <v>0.5</v>
      </c>
      <c r="B10">
        <v>258.63636363636363</v>
      </c>
      <c r="C10">
        <v>163.74</v>
      </c>
      <c r="D10">
        <v>110.36363636363636</v>
      </c>
      <c r="E10">
        <v>38.999999999999993</v>
      </c>
    </row>
    <row r="11" spans="1:5" x14ac:dyDescent="0.35">
      <c r="A11" s="2">
        <v>1</v>
      </c>
      <c r="B11">
        <v>282.63636363636357</v>
      </c>
      <c r="C11">
        <v>255.81</v>
      </c>
      <c r="D11">
        <v>197.81818181818178</v>
      </c>
      <c r="E11">
        <v>46.454545454545453</v>
      </c>
    </row>
    <row r="13" spans="1:5" x14ac:dyDescent="0.35">
      <c r="A13" s="2" t="s">
        <v>8</v>
      </c>
    </row>
    <row r="14" spans="1:5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x14ac:dyDescent="0.35">
      <c r="A15" s="2">
        <v>0.05</v>
      </c>
      <c r="B15">
        <v>0.169584615384615</v>
      </c>
      <c r="C15">
        <v>0.2616</v>
      </c>
      <c r="D15" s="5">
        <v>0.11600000000000001</v>
      </c>
      <c r="E15">
        <v>0.05</v>
      </c>
    </row>
    <row r="16" spans="1:5" x14ac:dyDescent="0.35">
      <c r="A16" s="2">
        <v>0.1</v>
      </c>
      <c r="B16">
        <v>0.22500000000000001</v>
      </c>
      <c r="C16">
        <v>0.34132000000000001</v>
      </c>
      <c r="D16">
        <v>0.28520000000000006</v>
      </c>
      <c r="E16">
        <v>0.17599999999999999</v>
      </c>
    </row>
    <row r="17" spans="1:6" x14ac:dyDescent="0.35">
      <c r="A17" s="2">
        <v>0.25</v>
      </c>
      <c r="B17">
        <v>0.34720000000000001</v>
      </c>
      <c r="C17">
        <v>0.67612000000000005</v>
      </c>
      <c r="D17">
        <v>0.39440000000000003</v>
      </c>
      <c r="E17">
        <v>0.31900000000000006</v>
      </c>
    </row>
    <row r="18" spans="1:6" x14ac:dyDescent="0.35">
      <c r="A18" s="2">
        <v>0.5</v>
      </c>
      <c r="B18">
        <v>0.42967384615384602</v>
      </c>
      <c r="C18">
        <v>0.69879630769230805</v>
      </c>
      <c r="D18">
        <v>0.45008000000000009</v>
      </c>
      <c r="E18">
        <v>0.32240000000000008</v>
      </c>
    </row>
    <row r="19" spans="1:6" x14ac:dyDescent="0.35">
      <c r="A19" s="2">
        <v>1</v>
      </c>
      <c r="B19">
        <v>0.51676923076923098</v>
      </c>
      <c r="C19">
        <v>0.74648492307692305</v>
      </c>
      <c r="D19">
        <v>0.61480000000000012</v>
      </c>
      <c r="E19">
        <v>0.33480000000000004</v>
      </c>
    </row>
    <row r="24" spans="1:6" x14ac:dyDescent="0.35">
      <c r="A24" s="2">
        <v>0.05</v>
      </c>
      <c r="B24" s="2">
        <f>B7*B15/365</f>
        <v>1.4867692307692274E-2</v>
      </c>
      <c r="C24" s="2">
        <f t="shared" ref="C24:E24" si="0">C7*C15/365</f>
        <v>2.1494202739726027E-2</v>
      </c>
      <c r="D24" s="2">
        <f t="shared" si="0"/>
        <v>6.8762141967621425E-3</v>
      </c>
      <c r="E24" s="2">
        <f t="shared" si="0"/>
        <v>1.0585305105853052E-3</v>
      </c>
      <c r="F24" s="2">
        <f>B24+C24+D24</f>
        <v>4.3238109244180443E-2</v>
      </c>
    </row>
    <row r="25" spans="1:6" x14ac:dyDescent="0.35">
      <c r="A25" s="2">
        <v>0.1</v>
      </c>
      <c r="B25" s="2">
        <f t="shared" ref="B25:E28" si="1">B8*B16/365</f>
        <v>3.9508094645080948E-2</v>
      </c>
      <c r="C25" s="2">
        <f t="shared" si="1"/>
        <v>6.6690442540473224E-2</v>
      </c>
      <c r="D25" s="2">
        <f t="shared" si="1"/>
        <v>2.3441095890410962E-2</v>
      </c>
      <c r="E25" s="2">
        <f t="shared" si="1"/>
        <v>8.7671232876712305E-3</v>
      </c>
      <c r="F25" s="2">
        <f t="shared" ref="F25:F28" si="2">B25+C25+D25</f>
        <v>0.12963963307596513</v>
      </c>
    </row>
    <row r="26" spans="1:6" x14ac:dyDescent="0.35">
      <c r="A26" s="2">
        <v>0.25</v>
      </c>
      <c r="B26" s="2">
        <f t="shared" si="1"/>
        <v>6.8575242839352443E-2</v>
      </c>
      <c r="C26" s="2">
        <f t="shared" si="1"/>
        <v>0.1377988131506849</v>
      </c>
      <c r="D26" s="2">
        <f t="shared" si="1"/>
        <v>9.0766027397260279E-2</v>
      </c>
      <c r="E26" s="2">
        <f t="shared" si="1"/>
        <v>2.3279452054794526E-2</v>
      </c>
      <c r="F26" s="2">
        <f t="shared" si="2"/>
        <v>0.29714008338729758</v>
      </c>
    </row>
    <row r="27" spans="1:6" x14ac:dyDescent="0.35">
      <c r="A27" s="2">
        <v>0.5</v>
      </c>
      <c r="B27" s="2">
        <f t="shared" si="1"/>
        <v>0.30446378388734541</v>
      </c>
      <c r="C27" s="2">
        <f t="shared" si="1"/>
        <v>0.31348193814120145</v>
      </c>
      <c r="D27" s="2">
        <f t="shared" si="1"/>
        <v>0.13608894645080949</v>
      </c>
      <c r="E27" s="2">
        <f t="shared" si="1"/>
        <v>3.4448219178082197E-2</v>
      </c>
      <c r="F27" s="2">
        <f t="shared" si="2"/>
        <v>0.75403466847935641</v>
      </c>
    </row>
    <row r="28" spans="1:6" x14ac:dyDescent="0.35">
      <c r="A28" s="2">
        <v>1</v>
      </c>
      <c r="B28" s="2">
        <f t="shared" si="1"/>
        <v>0.40015829102404449</v>
      </c>
      <c r="C28" s="2">
        <f t="shared" si="1"/>
        <v>0.52317344704741831</v>
      </c>
      <c r="D28" s="2">
        <f t="shared" si="1"/>
        <v>0.33320169364881697</v>
      </c>
      <c r="E28" s="2">
        <f t="shared" si="1"/>
        <v>4.2610909090909095E-2</v>
      </c>
      <c r="F28" s="2">
        <f t="shared" si="2"/>
        <v>1.2565334317202796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ED18-0D08-CB4E-A2AD-F17A0517052E}">
  <dimension ref="A1:F28"/>
  <sheetViews>
    <sheetView zoomScale="125" zoomScaleNormal="125" workbookViewId="0">
      <selection activeCell="B7" sqref="B7:E7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5" x14ac:dyDescent="0.35">
      <c r="A1" s="2" t="s">
        <v>12</v>
      </c>
      <c r="B1" s="2" t="s">
        <v>24</v>
      </c>
    </row>
    <row r="2" spans="1:5" x14ac:dyDescent="0.35">
      <c r="A2" s="2" t="s">
        <v>1</v>
      </c>
      <c r="B2" s="2" t="s">
        <v>11</v>
      </c>
    </row>
    <row r="5" spans="1:5" x14ac:dyDescent="0.35">
      <c r="A5" s="2" t="s">
        <v>7</v>
      </c>
    </row>
    <row r="6" spans="1:5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x14ac:dyDescent="0.35">
      <c r="A7" s="2">
        <v>0.05</v>
      </c>
      <c r="B7">
        <v>57.8</v>
      </c>
      <c r="C7">
        <v>29.17</v>
      </c>
      <c r="D7">
        <f>((AVERAGE(IND_HV!D7,IND_LG!D7,IND_HT!D7))+10)-5</f>
        <v>16.100000000000001</v>
      </c>
      <c r="E7">
        <f>((AVERAGE(IND_HV!E7,IND_LG!E7,IND_HT!E7))+10)-5</f>
        <v>11</v>
      </c>
    </row>
    <row r="8" spans="1:5" x14ac:dyDescent="0.35">
      <c r="A8" s="2">
        <v>0.1</v>
      </c>
      <c r="B8">
        <v>80.3</v>
      </c>
      <c r="C8">
        <v>56.05</v>
      </c>
      <c r="D8">
        <f>(AVERAGE(IND_HV!D8,IND_LG!D8,IND_HT!D8))+12</f>
        <v>27.966666666666669</v>
      </c>
      <c r="E8">
        <f>(AVERAGE(IND_HV!E8,IND_LG!E8,IND_HT!E8))+11</f>
        <v>23.133333333333333</v>
      </c>
    </row>
    <row r="9" spans="1:5" x14ac:dyDescent="0.35">
      <c r="A9" s="2">
        <v>0.25</v>
      </c>
      <c r="B9">
        <v>102.1</v>
      </c>
      <c r="C9">
        <v>97.45</v>
      </c>
      <c r="D9">
        <f>(AVERAGE(IND_HV!D9,IND_LG!D9,IND_HT!D9))+5</f>
        <v>44.866666666666667</v>
      </c>
      <c r="E9">
        <f>(AVERAGE(IND_HV!E9,IND_LG!E9,IND_HT!E9))+5</f>
        <v>23.733333333333334</v>
      </c>
    </row>
    <row r="10" spans="1:5" x14ac:dyDescent="0.35">
      <c r="A10" s="2">
        <v>0.5</v>
      </c>
      <c r="B10">
        <v>202.4</v>
      </c>
      <c r="C10">
        <v>150.55000000000001</v>
      </c>
      <c r="D10">
        <f>(AVERAGE(IND_HV!D10,IND_LG!D10,IND_HT!D10))+5</f>
        <v>74.7</v>
      </c>
      <c r="E10">
        <f>(AVERAGE(IND_HV!E10,IND_LG!E10,IND_HT!E10))+5</f>
        <v>33.933333333333337</v>
      </c>
    </row>
    <row r="11" spans="1:5" x14ac:dyDescent="0.35">
      <c r="A11" s="2">
        <v>1</v>
      </c>
      <c r="B11">
        <v>280</v>
      </c>
      <c r="C11">
        <v>187.75</v>
      </c>
      <c r="D11">
        <f>(AVERAGE(IND_HV!D11,IND_LG!D11,IND_HT!D11))+0</f>
        <v>123.46666666666665</v>
      </c>
      <c r="E11">
        <f>(AVERAGE(IND_HV!E11,IND_LG!E11,IND_HT!E11))+0</f>
        <v>36.6</v>
      </c>
    </row>
    <row r="13" spans="1:5" x14ac:dyDescent="0.35">
      <c r="A13" s="2" t="s">
        <v>8</v>
      </c>
    </row>
    <row r="14" spans="1:5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x14ac:dyDescent="0.35">
      <c r="A15" s="2">
        <v>0.05</v>
      </c>
      <c r="B15">
        <v>0.27</v>
      </c>
      <c r="C15">
        <v>0.12</v>
      </c>
      <c r="D15" s="5">
        <f>(AVERAGE(IND_HV!D15,IND_LG!D15,IND_HT!D15))+0.02</f>
        <v>6.6666666666666666E-2</v>
      </c>
      <c r="E15">
        <f>(AVERAGE(IND_HV!E15,IND_LG!E15,IND_HT!E15))+0.02</f>
        <v>0.05</v>
      </c>
    </row>
    <row r="16" spans="1:5" x14ac:dyDescent="0.35">
      <c r="A16" s="2">
        <v>0.1</v>
      </c>
      <c r="B16">
        <v>0.34</v>
      </c>
      <c r="C16">
        <v>0.18</v>
      </c>
      <c r="D16">
        <f>(AVERAGE(IND_HV!D16,IND_LG!D16,IND_HT!D16))+0.02</f>
        <v>0.13999999999999999</v>
      </c>
      <c r="E16">
        <f>(AVERAGE(IND_HV!E16,IND_LG!E16,IND_HT!E16))+0.02</f>
        <v>0.08</v>
      </c>
    </row>
    <row r="17" spans="1:6" x14ac:dyDescent="0.35">
      <c r="A17" s="2">
        <v>0.25</v>
      </c>
      <c r="B17">
        <v>0.43</v>
      </c>
      <c r="C17">
        <v>0.26799999999999996</v>
      </c>
      <c r="D17">
        <f>(AVERAGE(IND_HV!D17,IND_LG!D17,IND_HT!D17))+0.02</f>
        <v>0.19</v>
      </c>
      <c r="E17">
        <f>(AVERAGE(IND_HV!E17,IND_LG!E17,IND_HT!E17))+0.02</f>
        <v>0.13</v>
      </c>
    </row>
    <row r="18" spans="1:6" x14ac:dyDescent="0.35">
      <c r="A18" s="2">
        <v>0.5</v>
      </c>
      <c r="B18">
        <v>0.5</v>
      </c>
      <c r="C18">
        <v>0.34400000000000008</v>
      </c>
      <c r="D18">
        <f>(AVERAGE(IND_HV!D18,IND_LG!D18,IND_HT!D18))+0.02</f>
        <v>0.26400000000000001</v>
      </c>
      <c r="E18">
        <f>(AVERAGE(IND_HV!E18,IND_LG!E18,IND_HT!E18))+0.02</f>
        <v>0.20333333333333334</v>
      </c>
    </row>
    <row r="19" spans="1:6" x14ac:dyDescent="0.35">
      <c r="A19" s="2">
        <v>1</v>
      </c>
      <c r="B19">
        <v>0.64</v>
      </c>
      <c r="C19">
        <v>0.35800000000000004</v>
      </c>
      <c r="D19">
        <f>(AVERAGE(IND_HV!D19,IND_LG!D19,IND_HT!D19))+0.01</f>
        <v>0.30933333333333335</v>
      </c>
      <c r="E19">
        <f>(AVERAGE(IND_HV!E19,IND_LG!E19,IND_HT!E19))+0.01</f>
        <v>0.20333333333333337</v>
      </c>
    </row>
    <row r="24" spans="1:6" x14ac:dyDescent="0.35">
      <c r="A24" s="2">
        <v>0.05</v>
      </c>
      <c r="B24" s="2">
        <f>B7*B15/365</f>
        <v>4.275616438356164E-2</v>
      </c>
      <c r="C24" s="2">
        <f t="shared" ref="C24:E24" si="0">C7*C15/365</f>
        <v>9.5901369863013695E-3</v>
      </c>
      <c r="D24" s="2">
        <f t="shared" si="0"/>
        <v>2.9406392694063931E-3</v>
      </c>
      <c r="E24" s="2">
        <f t="shared" si="0"/>
        <v>1.5068493150684932E-3</v>
      </c>
      <c r="F24" s="2">
        <f>B24+C24+D24</f>
        <v>5.5286940639269408E-2</v>
      </c>
    </row>
    <row r="25" spans="1:6" x14ac:dyDescent="0.35">
      <c r="A25" s="2">
        <v>0.1</v>
      </c>
      <c r="B25" s="2">
        <f t="shared" ref="B25:E28" si="1">B8*B16/365</f>
        <v>7.4800000000000005E-2</v>
      </c>
      <c r="C25" s="2">
        <f t="shared" si="1"/>
        <v>2.7641095890410954E-2</v>
      </c>
      <c r="D25" s="2">
        <f t="shared" si="1"/>
        <v>1.0726940639269406E-2</v>
      </c>
      <c r="E25" s="2">
        <f t="shared" si="1"/>
        <v>5.0703196347031965E-3</v>
      </c>
      <c r="F25" s="2">
        <f t="shared" ref="F25:F28" si="2">B25+C25+D25</f>
        <v>0.11316803652968037</v>
      </c>
    </row>
    <row r="26" spans="1:6" x14ac:dyDescent="0.35">
      <c r="A26" s="2">
        <v>0.25</v>
      </c>
      <c r="B26" s="2">
        <f t="shared" si="1"/>
        <v>0.12028219178082192</v>
      </c>
      <c r="C26" s="2">
        <f t="shared" si="1"/>
        <v>7.155232876712328E-2</v>
      </c>
      <c r="D26" s="2">
        <f t="shared" si="1"/>
        <v>2.335525114155251E-2</v>
      </c>
      <c r="E26" s="2">
        <f t="shared" si="1"/>
        <v>8.452968036529682E-3</v>
      </c>
      <c r="F26" s="2">
        <f t="shared" si="2"/>
        <v>0.21518977168949771</v>
      </c>
    </row>
    <row r="27" spans="1:6" x14ac:dyDescent="0.35">
      <c r="A27" s="2">
        <v>0.5</v>
      </c>
      <c r="B27" s="2">
        <f t="shared" si="1"/>
        <v>0.27726027397260272</v>
      </c>
      <c r="C27" s="2">
        <f t="shared" si="1"/>
        <v>0.14188821917808223</v>
      </c>
      <c r="D27" s="2">
        <f t="shared" si="1"/>
        <v>5.4029589041095893E-2</v>
      </c>
      <c r="E27" s="2">
        <f t="shared" si="1"/>
        <v>1.8903500761035009E-2</v>
      </c>
      <c r="F27" s="2">
        <f t="shared" si="2"/>
        <v>0.47317808219178081</v>
      </c>
    </row>
    <row r="28" spans="1:6" x14ac:dyDescent="0.35">
      <c r="A28" s="2">
        <v>1</v>
      </c>
      <c r="B28" s="2">
        <f t="shared" si="1"/>
        <v>0.49095890410958909</v>
      </c>
      <c r="C28" s="2">
        <f t="shared" si="1"/>
        <v>0.18414931506849316</v>
      </c>
      <c r="D28" s="2">
        <f t="shared" si="1"/>
        <v>0.10463659056316589</v>
      </c>
      <c r="E28" s="2">
        <f t="shared" si="1"/>
        <v>2.0389041095890414E-2</v>
      </c>
      <c r="F28" s="2">
        <f t="shared" si="2"/>
        <v>0.77974480974124816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0FD6-58B4-564D-B1FE-1A66D789CFEF}">
  <dimension ref="A1:F28"/>
  <sheetViews>
    <sheetView zoomScale="125" zoomScaleNormal="125" workbookViewId="0">
      <selection activeCell="B7" sqref="B7:E7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5" x14ac:dyDescent="0.35">
      <c r="A1" s="2" t="s">
        <v>12</v>
      </c>
      <c r="B1" s="2" t="s">
        <v>30</v>
      </c>
    </row>
    <row r="2" spans="1:5" x14ac:dyDescent="0.35">
      <c r="A2" s="2" t="s">
        <v>1</v>
      </c>
      <c r="B2" s="2" t="s">
        <v>29</v>
      </c>
    </row>
    <row r="5" spans="1:5" x14ac:dyDescent="0.35">
      <c r="A5" s="2" t="s">
        <v>7</v>
      </c>
    </row>
    <row r="6" spans="1:5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x14ac:dyDescent="0.35">
      <c r="A7" s="2">
        <v>0.05</v>
      </c>
      <c r="B7">
        <v>39.857142857142861</v>
      </c>
      <c r="C7">
        <v>33.1</v>
      </c>
      <c r="D7">
        <v>-5</v>
      </c>
      <c r="E7">
        <v>-5</v>
      </c>
    </row>
    <row r="8" spans="1:5" x14ac:dyDescent="0.35">
      <c r="A8" s="2">
        <v>0.1</v>
      </c>
      <c r="B8">
        <v>60.214285714285701</v>
      </c>
      <c r="C8">
        <v>55.071428571428569</v>
      </c>
      <c r="D8">
        <v>0</v>
      </c>
      <c r="E8">
        <v>0</v>
      </c>
    </row>
    <row r="9" spans="1:5" x14ac:dyDescent="0.35">
      <c r="A9" s="2">
        <v>0.25</v>
      </c>
      <c r="B9">
        <v>74.357142857142904</v>
      </c>
      <c r="C9">
        <v>116.35714285714286</v>
      </c>
      <c r="D9">
        <v>10.142857142857142</v>
      </c>
      <c r="E9">
        <v>10</v>
      </c>
    </row>
    <row r="10" spans="1:5" x14ac:dyDescent="0.35">
      <c r="A10" s="2">
        <v>0.5</v>
      </c>
      <c r="B10">
        <v>148.85714285714286</v>
      </c>
      <c r="C10">
        <v>208.64285714285717</v>
      </c>
      <c r="D10">
        <v>27.642857142857142</v>
      </c>
      <c r="E10">
        <v>13.214285714285715</v>
      </c>
    </row>
    <row r="11" spans="1:5" x14ac:dyDescent="0.35">
      <c r="A11" s="2">
        <v>1</v>
      </c>
      <c r="B11">
        <v>201.42857142857144</v>
      </c>
      <c r="C11">
        <v>266.07142857142861</v>
      </c>
      <c r="D11">
        <v>43.785714285714285</v>
      </c>
      <c r="E11">
        <v>16.142857142857146</v>
      </c>
    </row>
    <row r="13" spans="1:5" x14ac:dyDescent="0.35">
      <c r="A13" s="2" t="s">
        <v>8</v>
      </c>
    </row>
    <row r="14" spans="1:5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x14ac:dyDescent="0.35">
      <c r="A15" s="2">
        <v>0.05</v>
      </c>
      <c r="B15">
        <v>0.221052631578947</v>
      </c>
      <c r="C15">
        <v>0.38947368421053002</v>
      </c>
      <c r="D15" s="5">
        <v>0.02</v>
      </c>
      <c r="E15">
        <v>0.02</v>
      </c>
    </row>
    <row r="16" spans="1:5" x14ac:dyDescent="0.35">
      <c r="A16" s="2">
        <v>0.1</v>
      </c>
      <c r="B16">
        <v>0.287368421052631</v>
      </c>
      <c r="C16">
        <v>0.394736842105263</v>
      </c>
      <c r="D16">
        <v>0.02</v>
      </c>
      <c r="E16">
        <v>0.02</v>
      </c>
    </row>
    <row r="17" spans="1:6" x14ac:dyDescent="0.35">
      <c r="A17" s="2">
        <v>0.25</v>
      </c>
      <c r="B17">
        <v>0.30842105263157898</v>
      </c>
      <c r="C17">
        <v>0.43</v>
      </c>
      <c r="D17">
        <v>4.6315789473684213E-2</v>
      </c>
      <c r="E17">
        <v>3.0526315789473686E-2</v>
      </c>
    </row>
    <row r="18" spans="1:6" x14ac:dyDescent="0.35">
      <c r="A18" s="2">
        <v>0.5</v>
      </c>
      <c r="B18">
        <v>0.40421052631578902</v>
      </c>
      <c r="C18">
        <v>0.57421052631578962</v>
      </c>
      <c r="D18">
        <v>0.10421052631578949</v>
      </c>
      <c r="E18">
        <v>7.7894736842105267E-2</v>
      </c>
    </row>
    <row r="19" spans="1:6" x14ac:dyDescent="0.35">
      <c r="A19" s="2">
        <v>1</v>
      </c>
      <c r="B19">
        <v>0.42052631578947403</v>
      </c>
      <c r="C19">
        <v>0.60526315789473695</v>
      </c>
      <c r="D19">
        <v>0.11</v>
      </c>
      <c r="E19">
        <v>7.8421052631578947E-2</v>
      </c>
    </row>
    <row r="24" spans="1:6" x14ac:dyDescent="0.35">
      <c r="A24" s="2">
        <v>0.05</v>
      </c>
      <c r="B24" s="2">
        <f>B7*B15/365</f>
        <v>2.4138428262436878E-2</v>
      </c>
      <c r="C24" s="2">
        <f t="shared" ref="C24:E24" si="0">C7*C15/365</f>
        <v>3.5319394376352176E-2</v>
      </c>
      <c r="D24" s="2">
        <f t="shared" si="0"/>
        <v>-2.7397260273972606E-4</v>
      </c>
      <c r="E24" s="2">
        <f t="shared" si="0"/>
        <v>-2.7397260273972606E-4</v>
      </c>
      <c r="F24" s="2">
        <f>B24+C24+D24</f>
        <v>5.9183850036049333E-2</v>
      </c>
    </row>
    <row r="25" spans="1:6" x14ac:dyDescent="0.35">
      <c r="A25" s="2">
        <v>0.1</v>
      </c>
      <c r="B25" s="2">
        <f t="shared" ref="B25:E28" si="1">B8*B16/365</f>
        <v>4.7407354001441859E-2</v>
      </c>
      <c r="C25" s="2">
        <f t="shared" si="1"/>
        <v>5.9558141930167861E-2</v>
      </c>
      <c r="D25" s="2">
        <f t="shared" si="1"/>
        <v>0</v>
      </c>
      <c r="E25" s="2">
        <f t="shared" si="1"/>
        <v>0</v>
      </c>
      <c r="F25" s="2">
        <f t="shared" ref="F25:F28" si="2">B25+C25+D25</f>
        <v>0.10696549593160973</v>
      </c>
    </row>
    <row r="26" spans="1:6" x14ac:dyDescent="0.35">
      <c r="A26" s="2">
        <v>0.25</v>
      </c>
      <c r="B26" s="2">
        <f t="shared" si="1"/>
        <v>6.2830981563497826E-2</v>
      </c>
      <c r="C26" s="2">
        <f t="shared" si="1"/>
        <v>0.13707827788649707</v>
      </c>
      <c r="D26" s="2">
        <f t="shared" si="1"/>
        <v>1.2870532495622617E-3</v>
      </c>
      <c r="E26" s="2">
        <f t="shared" si="1"/>
        <v>8.3633741888969001E-4</v>
      </c>
      <c r="F26" s="2">
        <f t="shared" si="2"/>
        <v>0.20119631269955715</v>
      </c>
    </row>
    <row r="27" spans="1:6" x14ac:dyDescent="0.35">
      <c r="A27" s="2">
        <v>0.5</v>
      </c>
      <c r="B27" s="2">
        <f t="shared" si="1"/>
        <v>0.16484828509630223</v>
      </c>
      <c r="C27" s="2">
        <f t="shared" si="1"/>
        <v>0.32823267071789075</v>
      </c>
      <c r="D27" s="2">
        <f t="shared" si="1"/>
        <v>7.8922649088474621E-3</v>
      </c>
      <c r="E27" s="2">
        <f t="shared" si="1"/>
        <v>2.8200638582758265E-3</v>
      </c>
      <c r="F27" s="2">
        <f t="shared" si="2"/>
        <v>0.5009732207230404</v>
      </c>
    </row>
    <row r="28" spans="1:6" x14ac:dyDescent="0.35">
      <c r="A28" s="2">
        <v>1</v>
      </c>
      <c r="B28" s="2">
        <f t="shared" si="1"/>
        <v>0.23207127407560016</v>
      </c>
      <c r="C28" s="2">
        <f t="shared" si="1"/>
        <v>0.44121433721289538</v>
      </c>
      <c r="D28" s="2">
        <f t="shared" si="1"/>
        <v>1.3195694716242662E-2</v>
      </c>
      <c r="E28" s="2">
        <f t="shared" si="1"/>
        <v>3.468328355134412E-3</v>
      </c>
      <c r="F28" s="2">
        <f t="shared" si="2"/>
        <v>0.68648130600473822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7562-EBBE-4F42-8D57-DBE2F6F5F8DD}">
  <dimension ref="A1:H28"/>
  <sheetViews>
    <sheetView zoomScale="125" zoomScaleNormal="125" workbookViewId="0">
      <selection activeCell="B7" sqref="B7:E7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8" x14ac:dyDescent="0.35">
      <c r="A1" s="2" t="s">
        <v>12</v>
      </c>
      <c r="B1" s="3" t="s">
        <v>31</v>
      </c>
    </row>
    <row r="2" spans="1:8" x14ac:dyDescent="0.35">
      <c r="A2" s="2" t="s">
        <v>1</v>
      </c>
      <c r="B2" s="2" t="s">
        <v>32</v>
      </c>
    </row>
    <row r="5" spans="1:8" x14ac:dyDescent="0.35">
      <c r="A5" s="2" t="s">
        <v>7</v>
      </c>
    </row>
    <row r="6" spans="1:8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8" x14ac:dyDescent="0.35">
      <c r="A7" s="2">
        <v>0.05</v>
      </c>
      <c r="B7">
        <v>39.03846153846154</v>
      </c>
      <c r="C7">
        <v>28.25</v>
      </c>
      <c r="D7">
        <v>0</v>
      </c>
      <c r="E7">
        <v>0</v>
      </c>
    </row>
    <row r="8" spans="1:8" x14ac:dyDescent="0.35">
      <c r="A8" s="2">
        <v>0.1</v>
      </c>
      <c r="B8">
        <v>49.679487179487182</v>
      </c>
      <c r="C8">
        <v>41.5</v>
      </c>
      <c r="D8">
        <v>9.5</v>
      </c>
      <c r="E8">
        <v>10.75</v>
      </c>
    </row>
    <row r="9" spans="1:8" x14ac:dyDescent="0.35">
      <c r="A9" s="2">
        <v>0.25</v>
      </c>
      <c r="B9">
        <v>63.717948717948715</v>
      </c>
      <c r="C9">
        <v>58.500000000000007</v>
      </c>
      <c r="D9">
        <v>13.75</v>
      </c>
      <c r="E9">
        <v>14.833333333333334</v>
      </c>
    </row>
    <row r="10" spans="1:8" x14ac:dyDescent="0.35">
      <c r="A10" s="2">
        <v>0.5</v>
      </c>
      <c r="B10">
        <v>146.85897435897436</v>
      </c>
      <c r="C10">
        <v>137.83333333333334</v>
      </c>
      <c r="D10">
        <v>43.75</v>
      </c>
      <c r="E10">
        <v>24.083333333333332</v>
      </c>
      <c r="H10" s="2"/>
    </row>
    <row r="11" spans="1:8" x14ac:dyDescent="0.35">
      <c r="A11" s="2">
        <v>1</v>
      </c>
      <c r="B11">
        <v>171.20879120879121</v>
      </c>
      <c r="C11">
        <v>217.92857142857144</v>
      </c>
      <c r="D11">
        <v>65.357142857142861</v>
      </c>
      <c r="E11">
        <v>25.785714285714288</v>
      </c>
    </row>
    <row r="13" spans="1:8" x14ac:dyDescent="0.35">
      <c r="A13" s="2" t="s">
        <v>8</v>
      </c>
    </row>
    <row r="14" spans="1:8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8" x14ac:dyDescent="0.35">
      <c r="A15" s="2">
        <v>0.05</v>
      </c>
      <c r="B15">
        <v>0.20383333333333301</v>
      </c>
      <c r="C15">
        <v>0.2475</v>
      </c>
      <c r="D15" s="5">
        <v>0.12</v>
      </c>
      <c r="E15">
        <v>0.02</v>
      </c>
      <c r="H15" s="2"/>
    </row>
    <row r="16" spans="1:8" x14ac:dyDescent="0.35">
      <c r="A16" s="2">
        <v>0.1</v>
      </c>
      <c r="B16">
        <v>0.261125</v>
      </c>
      <c r="C16">
        <v>0.34250000000000003</v>
      </c>
      <c r="D16">
        <v>0.14499999999999999</v>
      </c>
      <c r="E16">
        <v>0.05</v>
      </c>
    </row>
    <row r="17" spans="1:6" x14ac:dyDescent="0.35">
      <c r="A17" s="2">
        <v>0.25</v>
      </c>
      <c r="B17">
        <v>0.36666666666666697</v>
      </c>
      <c r="C17">
        <v>0.46750000000000003</v>
      </c>
      <c r="D17">
        <v>0.17</v>
      </c>
      <c r="E17">
        <v>0.09</v>
      </c>
    </row>
    <row r="18" spans="1:6" x14ac:dyDescent="0.35">
      <c r="A18" s="2">
        <v>0.5</v>
      </c>
      <c r="B18">
        <v>0.38916666666666699</v>
      </c>
      <c r="C18">
        <v>0.62750000000000017</v>
      </c>
      <c r="D18">
        <v>0.28000000000000003</v>
      </c>
      <c r="E18">
        <v>0.31</v>
      </c>
    </row>
    <row r="19" spans="1:6" x14ac:dyDescent="0.35">
      <c r="A19" s="2">
        <v>1</v>
      </c>
      <c r="B19">
        <v>0.39758333333333301</v>
      </c>
      <c r="C19">
        <v>0.66250000000000009</v>
      </c>
      <c r="D19">
        <v>0.4</v>
      </c>
      <c r="E19">
        <v>0.31</v>
      </c>
    </row>
    <row r="24" spans="1:6" x14ac:dyDescent="0.35">
      <c r="A24" s="2">
        <v>0.05</v>
      </c>
      <c r="B24" s="2">
        <f>B7*B15/365</f>
        <v>2.1800930804355429E-2</v>
      </c>
      <c r="C24" s="2">
        <f t="shared" ref="C24:E24" si="0">C7*C15/365</f>
        <v>1.9155821917808218E-2</v>
      </c>
      <c r="D24" s="2">
        <f t="shared" si="0"/>
        <v>0</v>
      </c>
      <c r="E24" s="2">
        <f t="shared" si="0"/>
        <v>0</v>
      </c>
      <c r="F24" s="2">
        <f>B24+C24+D24</f>
        <v>4.0956752722163647E-2</v>
      </c>
    </row>
    <row r="25" spans="1:6" x14ac:dyDescent="0.35">
      <c r="A25" s="2">
        <v>0.1</v>
      </c>
      <c r="B25" s="2">
        <f t="shared" ref="B25:E28" si="1">B8*B16/365</f>
        <v>3.5541249560941339E-2</v>
      </c>
      <c r="C25" s="2">
        <f t="shared" si="1"/>
        <v>3.8941780821917814E-2</v>
      </c>
      <c r="D25" s="2">
        <f t="shared" si="1"/>
        <v>3.7739726027397258E-3</v>
      </c>
      <c r="E25" s="2">
        <f t="shared" si="1"/>
        <v>1.4726027397260273E-3</v>
      </c>
      <c r="F25" s="2">
        <f t="shared" ref="F25:F28" si="2">B25+C25+D25</f>
        <v>7.8257002985598872E-2</v>
      </c>
    </row>
    <row r="26" spans="1:6" x14ac:dyDescent="0.35">
      <c r="A26" s="2">
        <v>0.25</v>
      </c>
      <c r="B26" s="2">
        <f t="shared" si="1"/>
        <v>6.4008898255473651E-2</v>
      </c>
      <c r="C26" s="2">
        <f t="shared" si="1"/>
        <v>7.4928082191780834E-2</v>
      </c>
      <c r="D26" s="2">
        <f t="shared" si="1"/>
        <v>6.404109589041097E-3</v>
      </c>
      <c r="E26" s="2">
        <f t="shared" si="1"/>
        <v>3.6575342465753422E-3</v>
      </c>
      <c r="F26" s="2">
        <f t="shared" si="2"/>
        <v>0.14534109003629558</v>
      </c>
    </row>
    <row r="27" spans="1:6" x14ac:dyDescent="0.35">
      <c r="A27" s="2">
        <v>0.5</v>
      </c>
      <c r="B27" s="2">
        <f t="shared" si="1"/>
        <v>0.15658251375717144</v>
      </c>
      <c r="C27" s="2">
        <f t="shared" si="1"/>
        <v>0.23696004566210052</v>
      </c>
      <c r="D27" s="2">
        <f t="shared" si="1"/>
        <v>3.3561643835616446E-2</v>
      </c>
      <c r="E27" s="2">
        <f t="shared" si="1"/>
        <v>2.045433789954338E-2</v>
      </c>
      <c r="F27" s="2">
        <f t="shared" si="2"/>
        <v>0.4271042032548884</v>
      </c>
    </row>
    <row r="28" spans="1:6" x14ac:dyDescent="0.35">
      <c r="A28" s="2">
        <v>1</v>
      </c>
      <c r="B28" s="2">
        <f t="shared" si="1"/>
        <v>0.18649249836921053</v>
      </c>
      <c r="C28" s="2">
        <f t="shared" si="1"/>
        <v>0.39555528375733862</v>
      </c>
      <c r="D28" s="2">
        <f t="shared" si="1"/>
        <v>7.1624266144814097E-2</v>
      </c>
      <c r="E28" s="2">
        <f t="shared" si="1"/>
        <v>2.1900195694716244E-2</v>
      </c>
      <c r="F28" s="2">
        <f t="shared" si="2"/>
        <v>0.65367204827136327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E705-507A-BD44-8890-D3E97DA303BB}">
  <dimension ref="A1:H28"/>
  <sheetViews>
    <sheetView zoomScale="125" zoomScaleNormal="125" workbookViewId="0">
      <selection activeCell="B7" sqref="B7:E7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8" x14ac:dyDescent="0.35">
      <c r="A1" s="2" t="s">
        <v>12</v>
      </c>
      <c r="B1" s="3" t="s">
        <v>34</v>
      </c>
    </row>
    <row r="2" spans="1:8" x14ac:dyDescent="0.35">
      <c r="A2" s="2" t="s">
        <v>1</v>
      </c>
      <c r="B2" s="2" t="s">
        <v>33</v>
      </c>
    </row>
    <row r="5" spans="1:8" x14ac:dyDescent="0.35">
      <c r="A5" s="2" t="s">
        <v>7</v>
      </c>
    </row>
    <row r="6" spans="1:8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8" x14ac:dyDescent="0.35">
      <c r="A7" s="2">
        <v>0.05</v>
      </c>
      <c r="B7">
        <v>72.846153846153797</v>
      </c>
      <c r="C7">
        <v>56.599999999999994</v>
      </c>
      <c r="D7">
        <v>0</v>
      </c>
      <c r="E7">
        <v>0</v>
      </c>
    </row>
    <row r="8" spans="1:8" x14ac:dyDescent="0.35">
      <c r="A8" s="2">
        <v>0.1</v>
      </c>
      <c r="B8">
        <v>94.615384615384599</v>
      </c>
      <c r="C8">
        <v>78.2</v>
      </c>
      <c r="D8">
        <v>10.535</v>
      </c>
      <c r="E8">
        <v>10.75</v>
      </c>
    </row>
    <row r="9" spans="1:8" x14ac:dyDescent="0.35">
      <c r="A9" s="2">
        <v>0.25</v>
      </c>
      <c r="B9">
        <v>102.461538461538</v>
      </c>
      <c r="C9">
        <v>90.8</v>
      </c>
      <c r="D9">
        <v>15.762499999999999</v>
      </c>
      <c r="E9">
        <v>14.833333333333334</v>
      </c>
    </row>
    <row r="10" spans="1:8" x14ac:dyDescent="0.35">
      <c r="A10" s="2">
        <v>0.5</v>
      </c>
      <c r="B10">
        <v>193.230769230769</v>
      </c>
      <c r="C10">
        <v>113.26666666666668</v>
      </c>
      <c r="D10">
        <v>52.662500000000001</v>
      </c>
      <c r="E10">
        <v>24.083333333333332</v>
      </c>
      <c r="H10" s="2"/>
    </row>
    <row r="11" spans="1:8" x14ac:dyDescent="0.35">
      <c r="A11" s="2">
        <v>1</v>
      </c>
      <c r="B11">
        <v>204.45054945054946</v>
      </c>
      <c r="C11">
        <v>175.34285714285716</v>
      </c>
      <c r="D11">
        <v>80.38928571428572</v>
      </c>
      <c r="E11">
        <v>25.785714285714288</v>
      </c>
    </row>
    <row r="13" spans="1:8" x14ac:dyDescent="0.35">
      <c r="A13" s="2" t="s">
        <v>8</v>
      </c>
    </row>
    <row r="14" spans="1:8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8" x14ac:dyDescent="0.35">
      <c r="A15" s="2">
        <v>0.05</v>
      </c>
      <c r="B15">
        <v>0.40383333333333299</v>
      </c>
      <c r="C15">
        <v>0.20849999999999999</v>
      </c>
      <c r="D15" s="5">
        <v>0.02</v>
      </c>
      <c r="E15">
        <v>0.02</v>
      </c>
      <c r="H15" s="2"/>
    </row>
    <row r="16" spans="1:8" x14ac:dyDescent="0.35">
      <c r="A16" s="2">
        <v>0.1</v>
      </c>
      <c r="B16">
        <v>0.46112500000000001</v>
      </c>
      <c r="C16">
        <v>0.26150000000000001</v>
      </c>
      <c r="D16">
        <v>0.15</v>
      </c>
      <c r="E16">
        <v>0.18</v>
      </c>
      <c r="H16" s="2"/>
    </row>
    <row r="17" spans="1:8" x14ac:dyDescent="0.35">
      <c r="A17" s="2">
        <v>0.25</v>
      </c>
      <c r="B17">
        <v>0.46666666666666701</v>
      </c>
      <c r="C17">
        <v>0.39650000000000002</v>
      </c>
      <c r="D17">
        <v>0.18</v>
      </c>
      <c r="E17">
        <v>0.36666666999999997</v>
      </c>
    </row>
    <row r="18" spans="1:8" x14ac:dyDescent="0.35">
      <c r="A18" s="2">
        <v>0.5</v>
      </c>
      <c r="B18">
        <v>0.48916666666666703</v>
      </c>
      <c r="C18">
        <v>0.48449999999999999</v>
      </c>
      <c r="D18">
        <v>0.21199999999999999</v>
      </c>
      <c r="E18">
        <v>0.41166666666666701</v>
      </c>
    </row>
    <row r="19" spans="1:8" x14ac:dyDescent="0.35">
      <c r="A19" s="2">
        <v>1</v>
      </c>
      <c r="B19">
        <v>0.59758333333333302</v>
      </c>
      <c r="C19">
        <v>0.50149999999999995</v>
      </c>
      <c r="D19">
        <v>0.23799999999999999</v>
      </c>
      <c r="E19">
        <v>0.51833333333333298</v>
      </c>
      <c r="H19" s="2"/>
    </row>
    <row r="24" spans="1:8" x14ac:dyDescent="0.35">
      <c r="A24" s="2">
        <v>0.05</v>
      </c>
      <c r="B24" s="2">
        <f>B7*B15/365</f>
        <v>8.0596452406041325E-2</v>
      </c>
      <c r="C24" s="2">
        <f t="shared" ref="C24:E24" si="0">C7*C15/365</f>
        <v>3.2331780821917802E-2</v>
      </c>
      <c r="D24" s="2">
        <f t="shared" si="0"/>
        <v>0</v>
      </c>
      <c r="E24" s="2">
        <f t="shared" si="0"/>
        <v>0</v>
      </c>
      <c r="F24" s="2">
        <f>B24+C24+D24</f>
        <v>0.11292823322795913</v>
      </c>
    </row>
    <row r="25" spans="1:8" x14ac:dyDescent="0.35">
      <c r="A25" s="2">
        <v>0.1</v>
      </c>
      <c r="B25" s="2">
        <f t="shared" ref="B25:E28" si="1">B8*B16/365</f>
        <v>0.11953292939936774</v>
      </c>
      <c r="C25" s="2">
        <f t="shared" si="1"/>
        <v>5.6025479452054799E-2</v>
      </c>
      <c r="D25" s="2">
        <f t="shared" si="1"/>
        <v>4.3294520547945206E-3</v>
      </c>
      <c r="E25" s="2">
        <f t="shared" si="1"/>
        <v>5.3013698630136981E-3</v>
      </c>
      <c r="F25" s="2">
        <f t="shared" ref="F25:F28" si="2">B25+C25+D25</f>
        <v>0.17988786090621706</v>
      </c>
    </row>
    <row r="26" spans="1:8" x14ac:dyDescent="0.35">
      <c r="A26" s="2">
        <v>0.25</v>
      </c>
      <c r="B26" s="2">
        <f t="shared" si="1"/>
        <v>0.13100105374077928</v>
      </c>
      <c r="C26" s="2">
        <f t="shared" si="1"/>
        <v>9.8636164383561653E-2</v>
      </c>
      <c r="D26" s="2">
        <f t="shared" si="1"/>
        <v>7.773287671232876E-3</v>
      </c>
      <c r="E26" s="2">
        <f t="shared" si="1"/>
        <v>1.4901065584474885E-2</v>
      </c>
      <c r="F26" s="2">
        <f t="shared" si="2"/>
        <v>0.2374105057955738</v>
      </c>
    </row>
    <row r="27" spans="1:8" x14ac:dyDescent="0.35">
      <c r="A27" s="2">
        <v>0.5</v>
      </c>
      <c r="B27" s="2">
        <f t="shared" si="1"/>
        <v>0.25896452406041437</v>
      </c>
      <c r="C27" s="2">
        <f t="shared" si="1"/>
        <v>0.15034986301369865</v>
      </c>
      <c r="D27" s="2">
        <f t="shared" si="1"/>
        <v>3.0587534246575343E-2</v>
      </c>
      <c r="E27" s="2">
        <f t="shared" si="1"/>
        <v>2.7162480974124829E-2</v>
      </c>
      <c r="F27" s="2">
        <f t="shared" si="2"/>
        <v>0.43990192132068839</v>
      </c>
    </row>
    <row r="28" spans="1:8" x14ac:dyDescent="0.35">
      <c r="A28" s="2">
        <v>1</v>
      </c>
      <c r="B28" s="2">
        <f t="shared" si="1"/>
        <v>0.33472942696572816</v>
      </c>
      <c r="C28" s="2">
        <f t="shared" si="1"/>
        <v>0.24091628180039137</v>
      </c>
      <c r="D28" s="2">
        <f t="shared" si="1"/>
        <v>5.2418219178082197E-2</v>
      </c>
      <c r="E28" s="2">
        <f t="shared" si="1"/>
        <v>3.6618069145466385E-2</v>
      </c>
      <c r="F28" s="2">
        <f t="shared" si="2"/>
        <v>0.62806392794420174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12DE-17B1-AD44-8143-497C83165CAF}">
  <dimension ref="A1:F28"/>
  <sheetViews>
    <sheetView zoomScale="125" zoomScaleNormal="125" workbookViewId="0">
      <selection activeCell="I20" sqref="I20"/>
    </sheetView>
  </sheetViews>
  <sheetFormatPr defaultColWidth="10.6640625" defaultRowHeight="15.5" x14ac:dyDescent="0.35"/>
  <cols>
    <col min="1" max="1" width="19" style="2" bestFit="1" customWidth="1"/>
    <col min="2" max="5" width="10.83203125" style="2"/>
  </cols>
  <sheetData>
    <row r="1" spans="1:5" x14ac:dyDescent="0.35">
      <c r="A1" s="2" t="s">
        <v>12</v>
      </c>
      <c r="B1" s="2" t="s">
        <v>36</v>
      </c>
    </row>
    <row r="2" spans="1:5" x14ac:dyDescent="0.35">
      <c r="A2" s="2" t="s">
        <v>1</v>
      </c>
      <c r="B2" s="2" t="s">
        <v>35</v>
      </c>
    </row>
    <row r="5" spans="1:5" x14ac:dyDescent="0.35">
      <c r="A5" s="2" t="s">
        <v>7</v>
      </c>
    </row>
    <row r="6" spans="1:5" x14ac:dyDescent="0.35">
      <c r="A6" s="2" t="s">
        <v>6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x14ac:dyDescent="0.35">
      <c r="A7" s="2">
        <v>0.05</v>
      </c>
      <c r="B7">
        <v>42.601626016260163</v>
      </c>
      <c r="C7">
        <v>27.455284552845526</v>
      </c>
      <c r="D7">
        <f>(((AVERAGE(IND_HV!D7,IND_LG!D7,IND_HT!D7))/1.23)+10)-5</f>
        <v>14.024390243902438</v>
      </c>
      <c r="E7">
        <f>((((AVERAGE(IND_HV!E7,IND_LG!E7,IND_HT!E7))*5)/1.23)+10)-5</f>
        <v>29.390243902439025</v>
      </c>
    </row>
    <row r="8" spans="1:5" x14ac:dyDescent="0.35">
      <c r="A8" s="2">
        <v>0.1</v>
      </c>
      <c r="B8">
        <v>53.699186991869915</v>
      </c>
      <c r="C8">
        <v>52.113821138211399</v>
      </c>
      <c r="D8">
        <f>((AVERAGE(IND_HV!D8,IND_LG!D8,IND_HT!D8))/1.23)+5+4+5</f>
        <v>26.981029810298104</v>
      </c>
      <c r="E8">
        <f>(((AVERAGE(IND_HV!E8,IND_LG!E8,IND_HT!E8))*5)/1.23)+5+3</f>
        <v>57.322493224932245</v>
      </c>
    </row>
    <row r="9" spans="1:5" x14ac:dyDescent="0.35">
      <c r="A9" s="2">
        <v>0.25</v>
      </c>
      <c r="B9">
        <v>70.487804878048792</v>
      </c>
      <c r="C9">
        <v>74.837398373983746</v>
      </c>
      <c r="D9">
        <f>((AVERAGE(IND_HV!D9,IND_LG!D9,IND_HT!D9))/1.23)+5</f>
        <v>37.411924119241192</v>
      </c>
      <c r="E9">
        <f>(((AVERAGE(IND_HV!E9,IND_LG!E9,IND_HT!E9))*5)/1.23)+5</f>
        <v>81.151761517615185</v>
      </c>
    </row>
    <row r="10" spans="1:5" x14ac:dyDescent="0.35">
      <c r="A10" s="2">
        <v>0.5</v>
      </c>
      <c r="B10">
        <v>167.35772357723579</v>
      </c>
      <c r="C10">
        <v>125.20325203252034</v>
      </c>
      <c r="D10">
        <f>((AVERAGE(IND_HV!D10,IND_LG!D10,IND_HT!D10))/1.23)+5</f>
        <v>61.666666666666671</v>
      </c>
      <c r="E10">
        <f>(((AVERAGE(IND_HV!E10,IND_LG!E10,IND_HT!E10))*5)/1.23)+5</f>
        <v>122.61517615176152</v>
      </c>
    </row>
    <row r="11" spans="1:5" x14ac:dyDescent="0.35">
      <c r="A11" s="2">
        <v>1</v>
      </c>
      <c r="B11">
        <v>228.57723577235774</v>
      </c>
      <c r="C11">
        <v>153.57723577235774</v>
      </c>
      <c r="D11">
        <f>((AVERAGE(IND_HV!D11,IND_LG!D11,IND_HT!D11))/1.23)+0</f>
        <v>100.37940379403793</v>
      </c>
      <c r="E11">
        <f>(((AVERAGE(IND_HV!E11,IND_LG!E11,IND_HT!E11))*5)/1.23)+0</f>
        <v>148.78048780487805</v>
      </c>
    </row>
    <row r="13" spans="1:5" x14ac:dyDescent="0.35">
      <c r="A13" s="2" t="s">
        <v>8</v>
      </c>
    </row>
    <row r="14" spans="1:5" x14ac:dyDescent="0.35">
      <c r="A14" s="2" t="s">
        <v>6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x14ac:dyDescent="0.35">
      <c r="A15" s="2">
        <v>0.05</v>
      </c>
      <c r="B15">
        <v>0.19152249134948099</v>
      </c>
      <c r="C15">
        <v>0.25824000000000003</v>
      </c>
      <c r="D15" s="5">
        <v>0.28999999999999998</v>
      </c>
      <c r="E15">
        <v>0.1</v>
      </c>
    </row>
    <row r="16" spans="1:5" x14ac:dyDescent="0.35">
      <c r="A16" s="2">
        <v>0.1</v>
      </c>
      <c r="B16">
        <v>0.23342560553633199</v>
      </c>
      <c r="C16">
        <v>0.36096</v>
      </c>
      <c r="D16">
        <v>0.36</v>
      </c>
      <c r="E16">
        <v>0.15</v>
      </c>
    </row>
    <row r="17" spans="1:6" x14ac:dyDescent="0.35">
      <c r="A17" s="2">
        <v>0.25</v>
      </c>
      <c r="B17">
        <v>0.27494809688581301</v>
      </c>
      <c r="C17">
        <v>0.39535999999999999</v>
      </c>
      <c r="D17">
        <v>0.49</v>
      </c>
      <c r="E17">
        <v>0.17</v>
      </c>
    </row>
    <row r="18" spans="1:6" x14ac:dyDescent="0.35">
      <c r="A18" s="2">
        <v>0.5</v>
      </c>
      <c r="B18">
        <v>0.38608996539792401</v>
      </c>
      <c r="C18">
        <v>0.48287999999999998</v>
      </c>
      <c r="D18">
        <v>0.53</v>
      </c>
      <c r="E18">
        <v>0.22</v>
      </c>
    </row>
    <row r="19" spans="1:6" x14ac:dyDescent="0.35">
      <c r="A19" s="2">
        <v>1</v>
      </c>
      <c r="B19">
        <v>0.427993079584775</v>
      </c>
      <c r="C19">
        <v>0.49975999999999998</v>
      </c>
      <c r="D19">
        <v>0.65</v>
      </c>
      <c r="E19">
        <v>0.25</v>
      </c>
    </row>
    <row r="24" spans="1:6" x14ac:dyDescent="0.35">
      <c r="A24" s="2">
        <v>0.05</v>
      </c>
      <c r="B24" s="2">
        <f>B7*B15/365</f>
        <v>2.2353889178556196E-2</v>
      </c>
      <c r="C24" s="2">
        <f t="shared" ref="C24:E24" si="0">C7*C15/365</f>
        <v>1.9424801871032411E-2</v>
      </c>
      <c r="D24" s="2">
        <f t="shared" si="0"/>
        <v>1.1142666221182759E-2</v>
      </c>
      <c r="E24" s="2">
        <f t="shared" si="0"/>
        <v>8.0521216171065835E-3</v>
      </c>
      <c r="F24" s="2">
        <f>B24+C24+D24</f>
        <v>5.2921357270771366E-2</v>
      </c>
    </row>
    <row r="25" spans="1:6" x14ac:dyDescent="0.35">
      <c r="A25" s="2">
        <v>0.1</v>
      </c>
      <c r="B25" s="2">
        <f t="shared" ref="B25:E28" si="1">B8*B16/365</f>
        <v>3.434182257639988E-2</v>
      </c>
      <c r="C25" s="2">
        <f t="shared" si="1"/>
        <v>5.1536999665887089E-2</v>
      </c>
      <c r="D25" s="2">
        <f t="shared" si="1"/>
        <v>2.6611426662211828E-2</v>
      </c>
      <c r="E25" s="2">
        <f t="shared" si="1"/>
        <v>2.3557188996547497E-2</v>
      </c>
      <c r="F25" s="2">
        <f t="shared" ref="F25:F28" si="2">B25+C25+D25</f>
        <v>0.1124902489044988</v>
      </c>
    </row>
    <row r="26" spans="1:6" x14ac:dyDescent="0.35">
      <c r="A26" s="2">
        <v>0.25</v>
      </c>
      <c r="B26" s="2">
        <f t="shared" si="1"/>
        <v>5.3097226862679564E-2</v>
      </c>
      <c r="C26" s="2">
        <f t="shared" si="1"/>
        <v>8.1062229646954004E-2</v>
      </c>
      <c r="D26" s="2">
        <f t="shared" si="1"/>
        <v>5.0224226899803236E-2</v>
      </c>
      <c r="E26" s="2">
        <f t="shared" si="1"/>
        <v>3.7796710843820774E-2</v>
      </c>
      <c r="F26" s="2">
        <f t="shared" si="2"/>
        <v>0.18438368340943681</v>
      </c>
    </row>
    <row r="27" spans="1:6" x14ac:dyDescent="0.35">
      <c r="A27" s="2">
        <v>0.5</v>
      </c>
      <c r="B27" s="2">
        <f t="shared" si="1"/>
        <v>0.17702777453427479</v>
      </c>
      <c r="C27" s="2">
        <f t="shared" si="1"/>
        <v>0.16563875709989978</v>
      </c>
      <c r="D27" s="2">
        <f t="shared" si="1"/>
        <v>8.9543378995433798E-2</v>
      </c>
      <c r="E27" s="2">
        <f t="shared" si="1"/>
        <v>7.3905037680513791E-2</v>
      </c>
      <c r="F27" s="2">
        <f t="shared" si="2"/>
        <v>0.4322099106296084</v>
      </c>
    </row>
    <row r="28" spans="1:6" x14ac:dyDescent="0.35">
      <c r="A28" s="2">
        <v>1</v>
      </c>
      <c r="B28" s="2">
        <f t="shared" si="1"/>
        <v>0.26802595907174409</v>
      </c>
      <c r="C28" s="2">
        <f t="shared" si="1"/>
        <v>0.21027879273861233</v>
      </c>
      <c r="D28" s="2">
        <f t="shared" si="1"/>
        <v>0.17875784237294429</v>
      </c>
      <c r="E28" s="2">
        <f t="shared" si="1"/>
        <v>0.10190444370197127</v>
      </c>
      <c r="F28" s="2">
        <f t="shared" si="2"/>
        <v>0.65706259418330071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Riunione</vt:lpstr>
      <vt:lpstr>IND_HV</vt:lpstr>
      <vt:lpstr>IND_LG</vt:lpstr>
      <vt:lpstr>IND_HT</vt:lpstr>
      <vt:lpstr>COM_PD</vt:lpstr>
      <vt:lpstr>COM_GD</vt:lpstr>
      <vt:lpstr>COM_IN</vt:lpstr>
      <vt:lpstr>COM_OF</vt:lpstr>
      <vt:lpstr>COM_RS</vt:lpstr>
      <vt:lpstr>IND_MG</vt:lpstr>
      <vt:lpstr>ATT_IM</vt:lpstr>
      <vt:lpstr>IND_TR</vt:lpstr>
      <vt:lpstr>IND_CS</vt:lpstr>
      <vt:lpstr>RES_HT</vt:lpstr>
      <vt:lpstr>AGR_00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Jlenia Di Noia</cp:lastModifiedBy>
  <dcterms:created xsi:type="dcterms:W3CDTF">2021-03-09T07:13:30Z</dcterms:created>
  <dcterms:modified xsi:type="dcterms:W3CDTF">2023-10-05T15:21:52Z</dcterms:modified>
</cp:coreProperties>
</file>